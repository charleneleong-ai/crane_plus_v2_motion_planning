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17910" yWindow="110" windowWidth="14810" windowHeight="8010" tabRatio="412"/>
  </bookViews>
  <sheets>
    <sheet name="Full Comparison" sheetId="7" r:id="rId1"/>
    <sheet name="Libraries" sheetId="3" r:id="rId2"/>
    <sheet name="Algorithms" sheetId="6" r:id="rId3"/>
    <sheet name="Glossary" sheetId="5" r:id="rId4"/>
  </sheets>
  <functionGroups builtInGroupCount="18"/>
  <calcPr calcId="152511"/>
</workbook>
</file>

<file path=xl/calcChain.xml><?xml version="1.0" encoding="utf-8"?>
<calcChain xmlns="http://schemas.openxmlformats.org/spreadsheetml/2006/main">
  <c r="E12" i="3" l="1"/>
  <c r="J12" i="3" l="1"/>
  <c r="I12" i="3"/>
  <c r="G12" i="3"/>
  <c r="F12" i="3"/>
  <c r="H12" i="3" l="1"/>
  <c r="D12" i="3" l="1"/>
  <c r="C12" i="3" l="1"/>
  <c r="C2" i="6" a="1"/>
  <c r="C2" i="6" s="1"/>
  <c r="K2" i="6" s="1"/>
  <c r="F12" i="6"/>
  <c r="E12" i="6"/>
  <c r="A2" i="3" a="1"/>
  <c r="A2" i="3" s="1"/>
  <c r="E2" i="3" s="1"/>
  <c r="J2" i="3" l="1"/>
  <c r="F2" i="3"/>
  <c r="I2" i="3"/>
  <c r="G2" i="3"/>
  <c r="H2" i="3" s="1"/>
  <c r="R2" i="6"/>
  <c r="J2" i="6"/>
  <c r="O2" i="6"/>
  <c r="G2" i="6"/>
  <c r="L2" i="6"/>
  <c r="Q2" i="6"/>
  <c r="I2" i="6"/>
  <c r="N2" i="6"/>
  <c r="P2" i="6"/>
  <c r="H2" i="6"/>
  <c r="M2" i="6"/>
  <c r="C2" i="3"/>
  <c r="D2" i="6"/>
  <c r="C3" i="6" a="1"/>
  <c r="C3" i="6" s="1"/>
  <c r="A2" i="6"/>
  <c r="B2" i="6"/>
  <c r="B12" i="3"/>
  <c r="B2" i="3"/>
  <c r="D2" i="3"/>
  <c r="F2" i="6"/>
  <c r="M3" i="6" l="1"/>
  <c r="R3" i="6"/>
  <c r="J3" i="6"/>
  <c r="O3" i="6"/>
  <c r="G3" i="6"/>
  <c r="N3" i="6"/>
  <c r="L3" i="6"/>
  <c r="Q3" i="6"/>
  <c r="I3" i="6"/>
  <c r="K3" i="6"/>
  <c r="P3" i="6"/>
  <c r="H3" i="6"/>
  <c r="C4" i="6" a="1"/>
  <c r="C4" i="6" s="1"/>
  <c r="G4" i="6" s="1"/>
  <c r="E2" i="6"/>
  <c r="A3" i="6"/>
  <c r="B3" i="6"/>
  <c r="D3" i="6"/>
  <c r="A3" i="3" a="1"/>
  <c r="A3" i="3" s="1"/>
  <c r="E3" i="3" s="1"/>
  <c r="F3" i="6"/>
  <c r="F3" i="3" l="1"/>
  <c r="J3" i="3"/>
  <c r="I3" i="3"/>
  <c r="G3" i="3"/>
  <c r="H3" i="3" s="1"/>
  <c r="P4" i="6"/>
  <c r="H4" i="6"/>
  <c r="M4" i="6"/>
  <c r="I4" i="6"/>
  <c r="R4" i="6"/>
  <c r="J4" i="6"/>
  <c r="O4" i="6"/>
  <c r="Q4" i="6"/>
  <c r="L4" i="6"/>
  <c r="N4" i="6"/>
  <c r="K4" i="6"/>
  <c r="C3" i="3"/>
  <c r="C5" i="6" a="1"/>
  <c r="C5" i="6" s="1"/>
  <c r="E3" i="6"/>
  <c r="A4" i="6"/>
  <c r="D4" i="6"/>
  <c r="B4" i="6"/>
  <c r="B3" i="3"/>
  <c r="A4" i="3" a="1"/>
  <c r="A4" i="3" s="1"/>
  <c r="E4" i="3" s="1"/>
  <c r="F4" i="6"/>
  <c r="D3" i="3"/>
  <c r="G4" i="3" l="1"/>
  <c r="H4" i="3" s="1"/>
  <c r="J4" i="3"/>
  <c r="F4" i="3"/>
  <c r="I4" i="3"/>
  <c r="K5" i="6"/>
  <c r="P5" i="6"/>
  <c r="H5" i="6"/>
  <c r="L5" i="6"/>
  <c r="M5" i="6"/>
  <c r="R5" i="6"/>
  <c r="J5" i="6"/>
  <c r="O5" i="6"/>
  <c r="G5" i="6"/>
  <c r="Q5" i="6"/>
  <c r="I5" i="6"/>
  <c r="N5" i="6"/>
  <c r="C4" i="3"/>
  <c r="A5" i="6"/>
  <c r="C6" i="6" a="1"/>
  <c r="C6" i="6" s="1"/>
  <c r="G6" i="6" s="1"/>
  <c r="E4" i="6"/>
  <c r="D5" i="6"/>
  <c r="B5" i="6"/>
  <c r="B4" i="3"/>
  <c r="A5" i="3" a="1"/>
  <c r="A5" i="3" s="1"/>
  <c r="E5" i="3" s="1"/>
  <c r="D4" i="3"/>
  <c r="F5" i="6"/>
  <c r="G5" i="3" l="1"/>
  <c r="H5" i="3" s="1"/>
  <c r="J5" i="3"/>
  <c r="F5" i="3"/>
  <c r="I5" i="3"/>
  <c r="C7" i="6" a="1"/>
  <c r="C7" i="6" s="1"/>
  <c r="N6" i="6"/>
  <c r="K6" i="6"/>
  <c r="O6" i="6"/>
  <c r="P6" i="6"/>
  <c r="H6" i="6"/>
  <c r="M6" i="6"/>
  <c r="R6" i="6"/>
  <c r="J6" i="6"/>
  <c r="L6" i="6"/>
  <c r="Q6" i="6"/>
  <c r="I6" i="6"/>
  <c r="C5" i="3"/>
  <c r="A6" i="6"/>
  <c r="E5" i="6"/>
  <c r="D6" i="6"/>
  <c r="B6" i="6"/>
  <c r="B5" i="3"/>
  <c r="A6" i="3" a="1"/>
  <c r="A6" i="3" s="1"/>
  <c r="E6" i="3" s="1"/>
  <c r="F6" i="6"/>
  <c r="D5" i="3"/>
  <c r="G6" i="3" l="1"/>
  <c r="H6" i="3" s="1"/>
  <c r="I6" i="3"/>
  <c r="J6" i="3"/>
  <c r="F6" i="3"/>
  <c r="B7" i="6"/>
  <c r="D7" i="6"/>
  <c r="A7" i="6"/>
  <c r="C8" i="6" a="1"/>
  <c r="C8" i="6" s="1"/>
  <c r="D8" i="6" s="1"/>
  <c r="Q7" i="6"/>
  <c r="I7" i="6"/>
  <c r="N7" i="6"/>
  <c r="K7" i="6"/>
  <c r="J7" i="6"/>
  <c r="P7" i="6"/>
  <c r="H7" i="6"/>
  <c r="M7" i="6"/>
  <c r="R7" i="6"/>
  <c r="O7" i="6"/>
  <c r="G7" i="6"/>
  <c r="L7" i="6"/>
  <c r="C6" i="3"/>
  <c r="E6" i="6"/>
  <c r="B6" i="3"/>
  <c r="A7" i="3" a="1"/>
  <c r="A7" i="3" s="1"/>
  <c r="E7" i="3" s="1"/>
  <c r="D6" i="3"/>
  <c r="F7" i="6"/>
  <c r="I7" i="3" l="1"/>
  <c r="G7" i="3"/>
  <c r="H7" i="3" s="1"/>
  <c r="J7" i="3"/>
  <c r="F7" i="3"/>
  <c r="E7" i="6"/>
  <c r="A8" i="6"/>
  <c r="L8" i="6"/>
  <c r="Q8" i="6"/>
  <c r="I8" i="6"/>
  <c r="N8" i="6"/>
  <c r="K8" i="6"/>
  <c r="M8" i="6"/>
  <c r="P8" i="6"/>
  <c r="H8" i="6"/>
  <c r="R8" i="6"/>
  <c r="J8" i="6"/>
  <c r="O8" i="6"/>
  <c r="G8" i="6"/>
  <c r="B8" i="6"/>
  <c r="C9" i="6" a="1"/>
  <c r="C9" i="6" s="1"/>
  <c r="C7" i="3"/>
  <c r="B7" i="3"/>
  <c r="A8" i="3" a="1"/>
  <c r="A8" i="3" s="1"/>
  <c r="E8" i="3" s="1"/>
  <c r="F8" i="6"/>
  <c r="D7" i="3"/>
  <c r="F8" i="3" l="1"/>
  <c r="I8" i="3"/>
  <c r="G8" i="3"/>
  <c r="H8" i="3" s="1"/>
  <c r="J8" i="3"/>
  <c r="E8" i="6"/>
  <c r="C10" i="6" a="1"/>
  <c r="C10" i="6" s="1"/>
  <c r="O9" i="6"/>
  <c r="G9" i="6"/>
  <c r="L9" i="6"/>
  <c r="P9" i="6"/>
  <c r="Q9" i="6"/>
  <c r="I9" i="6"/>
  <c r="H9" i="6"/>
  <c r="N9" i="6"/>
  <c r="K9" i="6"/>
  <c r="M9" i="6"/>
  <c r="R9" i="6"/>
  <c r="J9" i="6"/>
  <c r="B9" i="6"/>
  <c r="D9" i="6"/>
  <c r="A9" i="6"/>
  <c r="C8" i="3"/>
  <c r="B8" i="3"/>
  <c r="A9" i="3" a="1"/>
  <c r="A9" i="3" s="1"/>
  <c r="E9" i="3" s="1"/>
  <c r="D8" i="3"/>
  <c r="I9" i="3" l="1"/>
  <c r="F9" i="3"/>
  <c r="G9" i="3"/>
  <c r="H9" i="3" s="1"/>
  <c r="J9" i="3"/>
  <c r="C11" i="6" a="1"/>
  <c r="C11" i="6" s="1"/>
  <c r="R10" i="6"/>
  <c r="J10" i="6"/>
  <c r="O10" i="6"/>
  <c r="G10" i="6"/>
  <c r="L10" i="6"/>
  <c r="Q10" i="6"/>
  <c r="I10" i="6"/>
  <c r="K10" i="6"/>
  <c r="N10" i="6"/>
  <c r="P10" i="6"/>
  <c r="H10" i="6"/>
  <c r="M10" i="6"/>
  <c r="B10" i="6"/>
  <c r="A10" i="6"/>
  <c r="D10" i="6"/>
  <c r="E9" i="6"/>
  <c r="C9" i="3"/>
  <c r="B9" i="3"/>
  <c r="A10" i="3" a="1"/>
  <c r="A10" i="3" s="1"/>
  <c r="E10" i="3" s="1"/>
  <c r="F9" i="6"/>
  <c r="D9" i="3"/>
  <c r="J10" i="3" l="1"/>
  <c r="F10" i="3"/>
  <c r="I10" i="3"/>
  <c r="G10" i="3"/>
  <c r="H10" i="3" s="1"/>
  <c r="E10" i="6"/>
  <c r="C12" i="6" a="1"/>
  <c r="C12" i="6" s="1"/>
  <c r="M11" i="6"/>
  <c r="R11" i="6"/>
  <c r="J11" i="6"/>
  <c r="O11" i="6"/>
  <c r="G11" i="6"/>
  <c r="L11" i="6"/>
  <c r="Q11" i="6"/>
  <c r="I11" i="6"/>
  <c r="K11" i="6"/>
  <c r="N11" i="6"/>
  <c r="P11" i="6"/>
  <c r="H11" i="6"/>
  <c r="B11" i="6"/>
  <c r="A11" i="6"/>
  <c r="D11" i="6"/>
  <c r="C10" i="3"/>
  <c r="B10" i="3"/>
  <c r="A11" i="3" a="1"/>
  <c r="A11" i="3" s="1"/>
  <c r="E11" i="3" s="1"/>
  <c r="D10" i="3"/>
  <c r="F10" i="6"/>
  <c r="J11" i="3" l="1"/>
  <c r="F11" i="3"/>
  <c r="G11" i="3"/>
  <c r="H11" i="3" s="1"/>
  <c r="I11" i="3"/>
  <c r="P12" i="6"/>
  <c r="H12" i="6"/>
  <c r="M12" i="6"/>
  <c r="R12" i="6"/>
  <c r="J12" i="6"/>
  <c r="Q12" i="6"/>
  <c r="O12" i="6"/>
  <c r="G12" i="6"/>
  <c r="L12" i="6"/>
  <c r="N12" i="6"/>
  <c r="I12" i="6"/>
  <c r="K12" i="6"/>
  <c r="B12" i="6"/>
  <c r="D12" i="6"/>
  <c r="E11" i="6"/>
  <c r="C11" i="3"/>
  <c r="B11" i="3"/>
  <c r="F11" i="6"/>
  <c r="D11" i="3"/>
</calcChain>
</file>

<file path=xl/sharedStrings.xml><?xml version="1.0" encoding="utf-8"?>
<sst xmlns="http://schemas.openxmlformats.org/spreadsheetml/2006/main" count="752" uniqueCount="229">
  <si>
    <t>O</t>
    <phoneticPr fontId="8"/>
  </si>
  <si>
    <t>Library Application</t>
    <phoneticPr fontId="8"/>
  </si>
  <si>
    <t>Category</t>
    <phoneticPr fontId="8"/>
  </si>
  <si>
    <t>Subcategory</t>
    <phoneticPr fontId="8"/>
  </si>
  <si>
    <t>Space Complexity
(low 1 2 3 high)</t>
    <phoneticPr fontId="8"/>
  </si>
  <si>
    <t>Time Complexity
(low 1 2 3 high)</t>
    <phoneticPr fontId="8"/>
  </si>
  <si>
    <t>hyperopt</t>
    <phoneticPr fontId="8"/>
  </si>
  <si>
    <t>Optunity</t>
    <phoneticPr fontId="8"/>
  </si>
  <si>
    <t>None</t>
    <phoneticPr fontId="8"/>
  </si>
  <si>
    <t>Benefits</t>
    <phoneticPr fontId="8"/>
  </si>
  <si>
    <t>Limitations</t>
    <phoneticPr fontId="8"/>
  </si>
  <si>
    <t>Optunity</t>
    <phoneticPr fontId="8"/>
  </si>
  <si>
    <t>https://optunity.readthedocs.io/en/latest/user/solvers/particle_swarm.html</t>
    <phoneticPr fontId="8"/>
  </si>
  <si>
    <t>Parameter Search Space</t>
    <phoneticPr fontId="8"/>
  </si>
  <si>
    <t>http://hyperopt.github.io/hyperopt/</t>
    <phoneticPr fontId="8"/>
  </si>
  <si>
    <t>https://optunity.readthedocs.io/en/latest/user/solvers/random_search.html</t>
    <phoneticPr fontId="8"/>
  </si>
  <si>
    <t>Algorithm Summary</t>
    <phoneticPr fontId="8"/>
  </si>
  <si>
    <t>Language Support</t>
    <phoneticPr fontId="8"/>
  </si>
  <si>
    <t>Python</t>
    <phoneticPr fontId="8"/>
  </si>
  <si>
    <t>Provides a variety of solvers for hyperparameter tuning problems.</t>
    <phoneticPr fontId="8"/>
  </si>
  <si>
    <t>Uses a random forest of regression trees to model the objective function, new points are sampled from the region considered optimal (high Expected Improvement) by the random forest. </t>
    <phoneticPr fontId="8"/>
  </si>
  <si>
    <t>List of Parameters</t>
    <phoneticPr fontId="8"/>
  </si>
  <si>
    <t>RBFOpt</t>
  </si>
  <si>
    <t>TPOT </t>
  </si>
  <si>
    <t>Advisor</t>
  </si>
  <si>
    <t>https://github.com/avaneev/biteopt</t>
    <phoneticPr fontId="8"/>
  </si>
  <si>
    <t>BITEOPT</t>
    <phoneticPr fontId="8"/>
  </si>
  <si>
    <t>Stochastic/Deterministic</t>
    <phoneticPr fontId="8"/>
  </si>
  <si>
    <t>Constrained</t>
    <phoneticPr fontId="8"/>
  </si>
  <si>
    <t>Parallelisation</t>
    <phoneticPr fontId="8"/>
  </si>
  <si>
    <t>Real</t>
    <phoneticPr fontId="8"/>
  </si>
  <si>
    <t>Categorical</t>
    <phoneticPr fontId="8"/>
  </si>
  <si>
    <t xml:space="preserve">Population-based algorithm that uses a population of individuals to probe the best position in the search space. </t>
    <phoneticPr fontId="8"/>
  </si>
  <si>
    <t>Library</t>
    <phoneticPr fontId="8"/>
  </si>
  <si>
    <t>Library</t>
    <phoneticPr fontId="8"/>
  </si>
  <si>
    <t>Library Application</t>
    <phoneticPr fontId="8"/>
  </si>
  <si>
    <t>(PSO) Particle Swarm Optimisation</t>
    <phoneticPr fontId="8"/>
  </si>
  <si>
    <t>For serial and parallel optimisation over awkward search spaces, which may include real-valued, discrete, and conditional dimensions.</t>
    <phoneticPr fontId="8"/>
  </si>
  <si>
    <t># Algorithms</t>
    <phoneticPr fontId="8"/>
  </si>
  <si>
    <t>Algorithms*</t>
    <phoneticPr fontId="8"/>
  </si>
  <si>
    <t>Algorithm</t>
    <phoneticPr fontId="8"/>
  </si>
  <si>
    <t># Libraries</t>
    <phoneticPr fontId="8"/>
  </si>
  <si>
    <t>Libraries</t>
    <phoneticPr fontId="8"/>
  </si>
  <si>
    <t>Binary</t>
    <phoneticPr fontId="8"/>
  </si>
  <si>
    <t>Algorithm Description</t>
  </si>
  <si>
    <t>Sequentially constructs models to approximate the performance of hyperparameters based on historical measurements, then choose new hyperparameters to test based on this model.</t>
  </si>
  <si>
    <t>*Uses VBA function ConcatenateIf</t>
  </si>
  <si>
    <t>Library Traits</t>
  </si>
  <si>
    <t>Library Limitations</t>
  </si>
  <si>
    <t>Comments</t>
  </si>
  <si>
    <t>Library Features</t>
  </si>
  <si>
    <t>URL</t>
  </si>
  <si>
    <t>URL2</t>
  </si>
  <si>
    <t>Model Support</t>
  </si>
  <si>
    <t>All models</t>
  </si>
  <si>
    <t>Keras</t>
  </si>
  <si>
    <t>Keras wrapper for hyperopt</t>
  </si>
  <si>
    <t>https://github.com/maxpumperla/hyperas</t>
  </si>
  <si>
    <t>hyperas</t>
  </si>
  <si>
    <t>Test Results</t>
  </si>
  <si>
    <t>1. No parameters
2. Fast execution time</t>
  </si>
  <si>
    <t>(BITEOPT) BITmask Evolution OPTimization</t>
  </si>
  <si>
    <t>Python
Matlab
GNU Octave
R
Java</t>
  </si>
  <si>
    <t>https://optunity.readthedocs.io/en/latest/user/solvers/TPE.html</t>
  </si>
  <si>
    <t>https://optunity.readthedocs.io/en/latest/user/solvers/grid_search.html</t>
  </si>
  <si>
    <t>Grid Search</t>
  </si>
  <si>
    <t>Undirected search method that consists of testing a predefined set of values per hyperparameter. A search grid is constructed that is the Cartesian product of these sets of values.</t>
  </si>
  <si>
    <t>Python</t>
  </si>
  <si>
    <t>MOE</t>
  </si>
  <si>
    <t>1. Yields high variance during computing
2. Uninformed by past evaluations
3. Less likely to find optima in high dimensional space (curse of dimensionality)</t>
  </si>
  <si>
    <t>All models except Deep Belief Networks</t>
  </si>
  <si>
    <t>Evolutionary Algorithm</t>
  </si>
  <si>
    <t>Random Search</t>
  </si>
  <si>
    <t>Bayesian Optimisation</t>
  </si>
  <si>
    <t xml:space="preserve">Sequential model-based optimisation (SMBO) </t>
  </si>
  <si>
    <t>Tree-structured Parzen Estimator (TPE)</t>
  </si>
  <si>
    <t>Nelder-Mead method</t>
  </si>
  <si>
    <t>1. Will get stuck in bad regions with a poor starting point due to heuristic nature</t>
  </si>
  <si>
    <t>Nelder–Mead method</t>
  </si>
  <si>
    <t>The method uses the concept of a simplex, which is a special polytope of n + 1 vertices in n dimension to approximate local optimum of a problem when the objective funciton varies smoothly sn id unimodal.</t>
  </si>
  <si>
    <t>CMA-ES</t>
  </si>
  <si>
    <t>https://optunity.readthedocs.io/en/latest/api/optunity.solvers.CMAES.html</t>
  </si>
  <si>
    <t>https://optunity.readthedocs.io/en/latest/api/optunity.solvers.NelderMead.html#module-optunity.solvers.NelderMead</t>
  </si>
  <si>
    <t>1. All algorithms can be run either serially, or in parallel by communicating via MongoDB.
2. Support for describing alternative scenarios to run at once with "choice"
3. Ability to continue beyond the initially chosen number of experiments</t>
  </si>
  <si>
    <t>PySwarms</t>
  </si>
  <si>
    <t>Extensible research toolkit for particle swarm optimization (PSO) in Python.</t>
  </si>
  <si>
    <t>Not optimised for machine learning</t>
  </si>
  <si>
    <t>Particle Swarm Optimisation (PSO)</t>
  </si>
  <si>
    <t>Undirected search method that adaptively updates the search space for each population based on the covariance matrix of the best candidate solutions.</t>
  </si>
  <si>
    <t>None</t>
  </si>
  <si>
    <t>https://github.com/CMA-ES/pycma</t>
  </si>
  <si>
    <t>pycma</t>
  </si>
  <si>
    <t>Python implementation of CMA-ES</t>
  </si>
  <si>
    <t>1. Requires a lot of function evaluations. 
2. Suffers from curse of dimensionality
3. Highly impractical for algorithms with more than 4 parameters.</t>
  </si>
  <si>
    <t xml:space="preserve">1. Can retain the dependencies between parameters
2. Naturally supports domains with specified conditional
variables
</t>
  </si>
  <si>
    <t>O</t>
  </si>
  <si>
    <t>Direct Search</t>
  </si>
  <si>
    <t>https://github.com/coin-or/rbfopt</t>
  </si>
  <si>
    <t>X</t>
  </si>
  <si>
    <t>https://github.com/AIworx-Labs/chocolate</t>
  </si>
  <si>
    <t xml:space="preserve">A completely asynchronous optimisation framework relying solely on a database to share information between workers. Chocolate uses no master process for distributing tasks. Every task is completely independent and only gets its information from a database. </t>
  </si>
  <si>
    <t>Chocolate</t>
  </si>
  <si>
    <t>Algorithm Traits</t>
  </si>
  <si>
    <t>1. Initial solution point
2. Initial step size
3. (Population size)
4. (Termination conditions)</t>
  </si>
  <si>
    <t>1. Can find optimal solution in  high-dimensional spaces easily</t>
  </si>
  <si>
    <t>1. Requires significant number of model evaluations to converge therefore quite slow (but powerful)</t>
  </si>
  <si>
    <t>1. Inbuilt optimisation cross validation</t>
  </si>
  <si>
    <t>1. Allows for min and max in unstructured and structured search spaces
2. Inbuilt optimisation cross validation
3. Default is PSO</t>
  </si>
  <si>
    <t xml:space="preserve">1. Can retain the dependencies between parameters
2. Naturally supports domains with specified conditional variables
</t>
  </si>
  <si>
    <t>1. Specify distribution of each hyperparameter
2. Acqusition Function</t>
  </si>
  <si>
    <t>Talos</t>
  </si>
  <si>
    <t>https://github.com/autonomio/talos</t>
  </si>
  <si>
    <t>1. Very configurable</t>
  </si>
  <si>
    <t>1. Inertia (w)
2. Speeding figure (c1, c2)
3. Random friction (r1, r2)</t>
  </si>
  <si>
    <t>Quasi Random Search</t>
  </si>
  <si>
    <t>1. Guaranteed to find optimal solution
2. Simple to implement and parallelisation is trivial
3. No barrier to manual optimisation</t>
  </si>
  <si>
    <t>True/Quantum Randomness</t>
  </si>
  <si>
    <t>Method of generating random numbers via quantum processes.</t>
  </si>
  <si>
    <t>A hyperparameter optimisation library optimised for Keras models based on random search algorithms.</t>
  </si>
  <si>
    <t>1. Library is focused on improving random search capability by adding variations and reducing the workload of random variable picking
2. Easy to use</t>
  </si>
  <si>
    <t>1. No parameters
2. Fast execution time
3. Truly random</t>
  </si>
  <si>
    <t>Method of generating random numbers via audio based true random number generator.</t>
  </si>
  <si>
    <t>Randomly samples from a quasi-random sampling sequence (Sobol sequence) to ensure equidistant random sampling</t>
  </si>
  <si>
    <t>1. No parameters
2. Fast execution time
3. Equidistant sampling</t>
  </si>
  <si>
    <t>Randomly samples from a quasi-random sampling sequence (Halton sequence) to ensure equidistant random sampling</t>
  </si>
  <si>
    <t>Latin Hypercube Sampling Random Search</t>
  </si>
  <si>
    <t>Ambient Sound-based Random Search</t>
  </si>
  <si>
    <t>Quantum Vacuum-based Random Search</t>
  </si>
  <si>
    <t>Sobol Sequence Random Search</t>
  </si>
  <si>
    <t>Halton Sequence Random Search</t>
  </si>
  <si>
    <t>https://ieeexplore.ieee.org/document/7993009</t>
  </si>
  <si>
    <t>Library URL</t>
  </si>
  <si>
    <t>Paper URL</t>
  </si>
  <si>
    <t>Standard Random Search</t>
  </si>
  <si>
    <t>Samples hyperparameters randomly from predefined distributions.</t>
  </si>
  <si>
    <t>https://ilija139.github.io/pub/aaai-17.pdf</t>
  </si>
  <si>
    <t>Improved Latin Hypercube Sampling Random Search</t>
  </si>
  <si>
    <t>http://www.jmlr.org/papers/volume13/bergstra12a/bergstra12a.pdf</t>
  </si>
  <si>
    <t>http://www.wseas.us/e-library/conferences/2009/cambridge/ISPRA/ISPRA09.pdf</t>
  </si>
  <si>
    <t>https://www.nature.com/articles/nphoton.2010.197</t>
  </si>
  <si>
    <t>https://arxiv.org/pdf/1604.07269.pdf</t>
  </si>
  <si>
    <t>Time Complexity
(low 1 2 3 high)2</t>
  </si>
  <si>
    <t>https://ipsjcva.springeropen.com/articles/10.1186/s41074-017-0030-7</t>
  </si>
  <si>
    <t>https://papers.nips.cc/paper/4443-algorithms-for-hyper-parameter-optimization.pdf</t>
  </si>
  <si>
    <t>列2</t>
  </si>
  <si>
    <t>列3</t>
  </si>
  <si>
    <t>Rastringin Function</t>
  </si>
  <si>
    <t xml:space="preserve">Latin hypercube with a Sudoku-style constraint </t>
  </si>
  <si>
    <t>https://www.researchgate.net/publication/257281840_Dynamic_behaviour_of_an_axially_moving_plate_undergoing_small_cylindrical_deformation_submerged_in_axially_flowing_ideal_fluid</t>
  </si>
  <si>
    <t xml:space="preserve">Values are sampled from a uniformally distributed hypercube for each parameter but improved with modified alternating projections method (L-Mapm) </t>
  </si>
  <si>
    <t>Values are sampled from a uniformally distributed hypercube for each parameter but randomly combined to ensure values are approximately equidistant from each other.</t>
  </si>
  <si>
    <t>Uniform Mersenne</t>
  </si>
  <si>
    <t>http://www.math.sci.hiroshima-u.ac.jp/~m-mat/MT/ARTICLES/mt.pdf</t>
  </si>
  <si>
    <t>Values are sampled using the Mersenne Twister: a 623-dimensionally equidistributed uniform pseudorandom number generator</t>
  </si>
  <si>
    <t>Values are sampled in a sudoku puzzle like fashion from a hypercube but randomly combined to ensure values are approximately equidistant from each other.</t>
  </si>
  <si>
    <t>https://pdfs.semanticscholar.org/6d00/7fd5f734cb4c6c9457e22f46a58be5edb662.pdf</t>
  </si>
  <si>
    <t>1. Easily suffers form partial optimisation which causes less exact regulation of speed and direction.
2. Requires tweaking for discrete spaces</t>
  </si>
  <si>
    <t>Comment</t>
  </si>
  <si>
    <t>Suited for low dimensional, time intensive problems</t>
  </si>
  <si>
    <t>1. General purpose solver
2. Ease of parallelisation</t>
  </si>
  <si>
    <t>1. Good for local optimisation after a good region has been determined
2. General purpose solver
3. Ease of parallelisation</t>
  </si>
  <si>
    <t>Metaheuristic Optimisation</t>
  </si>
  <si>
    <t>1. Specify distribution of each hyperparameter
2. Acqusition Function
3. Num startup jobs
4. Gamma - %good parameters
5. Num EI candidates</t>
  </si>
  <si>
    <t>Spearmint</t>
  </si>
  <si>
    <t>Performs Bayes Optimisation with Gaussian processes</t>
  </si>
  <si>
    <t>https://github.com/HIPS/Spearmint</t>
  </si>
  <si>
    <t>Gaussian Processes (GP)</t>
  </si>
  <si>
    <t>https://pdfs.semanticscholar.org/74d6/b7a3fda8ba7e9183ccbb8b697018b38864d7.pdf</t>
  </si>
  <si>
    <t>1. Kernel Function
2. Acquisition Function</t>
  </si>
  <si>
    <t>1. Simple to implement</t>
  </si>
  <si>
    <t>1. TPE selects the values of hyperparameters independently therefore cannot discover relation directly
2. Hard to parallelise</t>
  </si>
  <si>
    <t>1. Cannot handle complex parameter spaces such as conditional and categorical parameters
2. Cannot handle noise 
3. High model overhead</t>
  </si>
  <si>
    <t>Time and space complexity increases with dimensionality of search space</t>
  </si>
  <si>
    <t>Python
C++</t>
  </si>
  <si>
    <t>https://github.com/automl/SMAC3</t>
  </si>
  <si>
    <t>SMAC</t>
  </si>
  <si>
    <t xml:space="preserve">SMAC is a tool for algorithm configuration to optimise the parameters of arbitrary algorithms across a set of instances (including hyperparameter optimisation). </t>
  </si>
  <si>
    <t>Random Forests (RF)</t>
  </si>
  <si>
    <t>Bayes optimisation using random forests as the surrogate function which can support conditional domains</t>
  </si>
  <si>
    <t>Baesian Optimisation using Gaussian processes to compute the Expected Improvement to optimise the search space.</t>
  </si>
  <si>
    <t>1. Supports conditional variables</t>
  </si>
  <si>
    <t>https://github.com/skylergrammer/SimulatedAnnealing</t>
  </si>
  <si>
    <t>1. Immune to getting stuck in lcoal minima/maxima</t>
  </si>
  <si>
    <t>Simulated Annealing</t>
  </si>
  <si>
    <t>1. Splitting criterion</t>
  </si>
  <si>
    <t>1. Flexible implementation
2. Performs best with low-dimensional continuous problems</t>
  </si>
  <si>
    <t>1. Ability to continue beyond the initially chosen number of experiments 
2. Ability to pause, save and later load and resume a run</t>
  </si>
  <si>
    <t>1. Flexible implementation
2. Performs best with high-dimensional structured optimisation (categorical or conditional)</t>
  </si>
  <si>
    <t>1. Designed for discrete functions, not good for continuous functions</t>
  </si>
  <si>
    <t>http://www.cs.ubc.ca/labs/beta/Projects/SMAC/papers/11-LION5-SMAC.pdf</t>
  </si>
  <si>
    <t>https://github.com/SheffieldML/GPyOpt</t>
  </si>
  <si>
    <t>GPyOpt</t>
  </si>
  <si>
    <t>Performs Bayes Optimisation with different acquistion functions</t>
  </si>
  <si>
    <t xml:space="preserve">1. Flexible implementation
</t>
  </si>
  <si>
    <t>https://github.com/fmfn/BayesianOptimization</t>
  </si>
  <si>
    <t>BayesOpt</t>
  </si>
  <si>
    <t>https://github.com/rmcantin/bayesopt</t>
  </si>
  <si>
    <t>Bayesian Optimization</t>
  </si>
  <si>
    <t>Method motivated by the cooling processes observed in metals.</t>
  </si>
  <si>
    <t>https://github.com/polyaxon/polyaxon</t>
  </si>
  <si>
    <t>https://github.com/ljvmiranda921/pyswarms</t>
  </si>
  <si>
    <t>1. Highly extensible API for implementing own techniques
2. Comprehensive interface</t>
  </si>
  <si>
    <t>Polyaxon</t>
  </si>
  <si>
    <t>Platform for building, training, and monitoring large scale deep learning applications.</t>
  </si>
  <si>
    <t>Deep Learning Models</t>
  </si>
  <si>
    <t>Bayesian Optimisation using Gaussian processes to compute the Expected Improvement to optimise the search space.</t>
  </si>
  <si>
    <t>1. Interactive dashboard
2. Designed for largescale deep learning applications by managing workloads with smart container and node management</t>
  </si>
  <si>
    <t>1. Interactive dashboard
2. Designed for largescale deep learning applications by managing workloads with smart container and node management
3. Has early stopping for random search</t>
  </si>
  <si>
    <t>Hyperband</t>
  </si>
  <si>
    <t>Runs random configurations on a specific schedule of iterations per configuration, using earlier results to select candidates for longer runs.</t>
  </si>
  <si>
    <t>Bandit-based Search</t>
  </si>
  <si>
    <t>Implements the bandit-based random search hyperband</t>
  </si>
  <si>
    <t>1. Support sklearn models</t>
  </si>
  <si>
    <t>https://github.com/zygmuntz/hyperband</t>
  </si>
  <si>
    <t>https://people.eecs.berkeley.edu/~kjamieson/hyperband.html</t>
  </si>
  <si>
    <t>1. When learning rate is a parameter, converges quickly but not optimally</t>
  </si>
  <si>
    <t>scikit-optimize</t>
  </si>
  <si>
    <t>Simple and efficient library to minimise very expensive and noisy blackbox functions</t>
  </si>
  <si>
    <t>Samples hyperparameters randomly from uniform distribution with given bounds</t>
  </si>
  <si>
    <t>Gradient boosting trees (GBT)</t>
  </si>
  <si>
    <t>Decision trees (DT)</t>
  </si>
  <si>
    <t xml:space="preserve">Uses a tree based regression model to model which is improved by sequentially evaluating the expensive function at the next best point. </t>
  </si>
  <si>
    <t xml:space="preserve">Uses a gradient boosting tree based regression model to model which is improved by sequentially evaluating the expensive function at the next best point. </t>
  </si>
  <si>
    <t>https://github.com/scikit-optimize/scikit-optimize</t>
  </si>
  <si>
    <t>1. Support sklearn models
2. Still experimental and under development</t>
  </si>
  <si>
    <t>Deep Learning Models
Reinforcement Learning Models</t>
  </si>
  <si>
    <t xml:space="preserve">1. Designed for largescale deep learning applications by managing workloads with smart container and node management
</t>
  </si>
  <si>
    <t>https://ray.readthedocs.io/en/latest/tune.html</t>
  </si>
  <si>
    <t>Ray.tune: Scalable Hyperparameter Search</t>
  </si>
</sst>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Calibri"/>
      <family val="2"/>
      <scheme val="minor"/>
    </font>
    <font>
      <sz val="10"/>
      <color theme="1"/>
      <name val="Verdana"/>
      <family val="2"/>
    </font>
    <font>
      <sz val="10"/>
      <color theme="1"/>
      <name val="Verdana"/>
      <family val="2"/>
    </font>
    <font>
      <sz val="10"/>
      <color theme="1"/>
      <name val="Verdana"/>
      <family val="2"/>
    </font>
    <font>
      <sz val="10"/>
      <color theme="1"/>
      <name val="Verdana"/>
      <family val="2"/>
    </font>
    <font>
      <sz val="10"/>
      <color theme="1"/>
      <name val="Verdana"/>
      <family val="2"/>
    </font>
    <font>
      <sz val="10"/>
      <color theme="1"/>
      <name val="Verdana"/>
      <family val="2"/>
    </font>
    <font>
      <sz val="10"/>
      <color theme="1"/>
      <name val="Verdana"/>
      <family val="2"/>
    </font>
    <font>
      <sz val="6"/>
      <name val="Calibri"/>
      <family val="3"/>
      <charset val="128"/>
      <scheme val="minor"/>
    </font>
    <font>
      <u/>
      <sz val="11"/>
      <color theme="10"/>
      <name val="Calibri"/>
      <family val="2"/>
      <scheme val="minor"/>
    </font>
    <font>
      <sz val="10"/>
      <color theme="1"/>
      <name val="Verdana"/>
      <family val="2"/>
    </font>
    <font>
      <b/>
      <sz val="10"/>
      <color theme="0"/>
      <name val="Verdana"/>
      <family val="2"/>
    </font>
    <font>
      <sz val="11"/>
      <color theme="1"/>
      <name val="Verdana"/>
      <family val="2"/>
    </font>
    <font>
      <u/>
      <sz val="10"/>
      <color theme="10"/>
      <name val="Verdana"/>
      <family val="2"/>
    </font>
    <font>
      <sz val="10"/>
      <color theme="1"/>
      <name val="Verdana"/>
    </font>
    <font>
      <b/>
      <sz val="10"/>
      <color theme="0"/>
      <name val="Verdana"/>
    </font>
    <font>
      <sz val="10"/>
      <color rgb="FF404040"/>
      <name val="Verdana"/>
      <family val="2"/>
    </font>
  </fonts>
  <fills count="3">
    <fill>
      <patternFill patternType="none"/>
    </fill>
    <fill>
      <patternFill patternType="gray125"/>
    </fill>
    <fill>
      <patternFill patternType="solid">
        <fgColor theme="8"/>
        <bgColor theme="8"/>
      </patternFill>
    </fill>
  </fills>
  <borders count="12">
    <border>
      <left/>
      <right/>
      <top/>
      <bottom/>
      <diagonal/>
    </border>
    <border>
      <left/>
      <right/>
      <top style="thin">
        <color theme="8"/>
      </top>
      <bottom/>
      <diagonal/>
    </border>
    <border>
      <left/>
      <right style="thin">
        <color theme="8"/>
      </right>
      <top style="thin">
        <color theme="8"/>
      </top>
      <bottom/>
      <diagonal/>
    </border>
    <border>
      <left/>
      <right style="thin">
        <color theme="8"/>
      </right>
      <top style="thin">
        <color theme="8"/>
      </top>
      <bottom style="thin">
        <color theme="8"/>
      </bottom>
      <diagonal/>
    </border>
    <border>
      <left style="thin">
        <color theme="8"/>
      </left>
      <right/>
      <top/>
      <bottom/>
      <diagonal/>
    </border>
    <border>
      <left/>
      <right style="thin">
        <color theme="8"/>
      </right>
      <top/>
      <bottom/>
      <diagonal/>
    </border>
    <border>
      <left style="thin">
        <color theme="0"/>
      </left>
      <right/>
      <top style="medium">
        <color theme="0"/>
      </top>
      <bottom/>
      <diagonal/>
    </border>
    <border>
      <left/>
      <right style="thin">
        <color theme="0"/>
      </right>
      <top style="medium">
        <color theme="0"/>
      </top>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right style="thin">
        <color theme="0"/>
      </right>
      <top/>
      <bottom/>
      <diagonal/>
    </border>
  </borders>
  <cellStyleXfs count="2">
    <xf numFmtId="0" fontId="0" fillId="0" borderId="0"/>
    <xf numFmtId="0" fontId="9" fillId="0" borderId="0" applyNumberFormat="0" applyFill="0" applyBorder="0" applyAlignment="0" applyProtection="0"/>
  </cellStyleXfs>
  <cellXfs count="58">
    <xf numFmtId="0" fontId="0" fillId="0" borderId="0" xfId="0"/>
    <xf numFmtId="0" fontId="1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10" fillId="0" borderId="1" xfId="0" applyFont="1" applyBorder="1" applyAlignment="1">
      <alignment vertical="center" wrapText="1"/>
    </xf>
    <xf numFmtId="0" fontId="10" fillId="0" borderId="2" xfId="0" applyFont="1" applyBorder="1" applyAlignment="1">
      <alignment vertical="center" wrapText="1"/>
    </xf>
    <xf numFmtId="0" fontId="10" fillId="0" borderId="3" xfId="0" applyFont="1" applyBorder="1" applyAlignment="1">
      <alignment vertical="center" wrapText="1"/>
    </xf>
    <xf numFmtId="0" fontId="11" fillId="2" borderId="0" xfId="0" applyFont="1" applyFill="1" applyBorder="1" applyAlignment="1">
      <alignment horizontal="center" vertical="center" wrapText="1"/>
    </xf>
    <xf numFmtId="0" fontId="10" fillId="0" borderId="0" xfId="0" applyFont="1" applyBorder="1" applyAlignment="1">
      <alignment vertical="center" wrapText="1"/>
    </xf>
    <xf numFmtId="0" fontId="11" fillId="2" borderId="4" xfId="0" applyFont="1" applyFill="1" applyBorder="1" applyAlignment="1">
      <alignment horizontal="center" vertical="center" wrapText="1"/>
    </xf>
    <xf numFmtId="0" fontId="11" fillId="2" borderId="5" xfId="0" applyFont="1" applyFill="1" applyBorder="1" applyAlignment="1">
      <alignment horizontal="center" vertical="center" wrapText="1"/>
    </xf>
    <xf numFmtId="0" fontId="10" fillId="0" borderId="0" xfId="0" applyFont="1" applyAlignment="1">
      <alignment wrapText="1"/>
    </xf>
    <xf numFmtId="0" fontId="12" fillId="0" borderId="0" xfId="0" applyFont="1"/>
    <xf numFmtId="0" fontId="13" fillId="0" borderId="0" xfId="1" applyFont="1" applyFill="1" applyBorder="1" applyAlignment="1">
      <alignment vertical="center" wrapText="1"/>
    </xf>
    <xf numFmtId="0" fontId="13" fillId="0" borderId="0" xfId="1" applyFont="1" applyAlignment="1">
      <alignment vertical="center" wrapText="1"/>
    </xf>
    <xf numFmtId="0" fontId="7" fillId="0" borderId="0" xfId="0" applyFont="1" applyFill="1" applyBorder="1" applyAlignment="1">
      <alignment horizontal="center" vertical="center" wrapText="1"/>
    </xf>
    <xf numFmtId="0" fontId="14" fillId="0" borderId="0" xfId="0" applyFont="1" applyBorder="1" applyAlignment="1">
      <alignment vertical="center" wrapText="1"/>
    </xf>
    <xf numFmtId="0" fontId="14" fillId="0" borderId="0" xfId="0" applyFont="1" applyAlignment="1">
      <alignment wrapText="1"/>
    </xf>
    <xf numFmtId="0" fontId="14" fillId="0" borderId="0" xfId="0" applyNumberFormat="1" applyFont="1" applyAlignment="1">
      <alignment wrapText="1"/>
    </xf>
    <xf numFmtId="0" fontId="15" fillId="2" borderId="0" xfId="0" applyFont="1" applyFill="1" applyBorder="1" applyAlignment="1">
      <alignment horizontal="center" vertical="center" wrapText="1"/>
    </xf>
    <xf numFmtId="0" fontId="15" fillId="2" borderId="7" xfId="0" applyFont="1" applyFill="1" applyBorder="1" applyAlignment="1">
      <alignment horizontal="center" vertical="center" wrapText="1"/>
    </xf>
    <xf numFmtId="0" fontId="14" fillId="0" borderId="0" xfId="0" applyNumberFormat="1" applyFont="1" applyBorder="1" applyAlignment="1">
      <alignment vertical="center" wrapText="1"/>
    </xf>
    <xf numFmtId="0" fontId="9" fillId="0" borderId="0" xfId="1" applyBorder="1" applyAlignment="1">
      <alignment vertical="center" wrapText="1"/>
    </xf>
    <xf numFmtId="0" fontId="9" fillId="0" borderId="0" xfId="1" applyNumberFormat="1" applyBorder="1" applyAlignment="1">
      <alignment vertical="center" wrapText="1"/>
    </xf>
    <xf numFmtId="0" fontId="9" fillId="0" borderId="0" xfId="1" applyNumberFormat="1" applyAlignment="1">
      <alignment wrapText="1"/>
    </xf>
    <xf numFmtId="0" fontId="15" fillId="2" borderId="6"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6" fillId="0" borderId="7" xfId="0" applyFont="1" applyFill="1" applyBorder="1" applyAlignment="1">
      <alignment horizontal="center" vertical="center" wrapText="1"/>
    </xf>
    <xf numFmtId="0" fontId="6" fillId="0" borderId="6" xfId="0" applyFont="1" applyFill="1" applyBorder="1" applyAlignment="1">
      <alignment horizontal="center" vertical="center" wrapText="1"/>
    </xf>
    <xf numFmtId="0" fontId="6" fillId="0" borderId="0" xfId="0" applyFont="1" applyFill="1" applyBorder="1" applyAlignment="1">
      <alignment vertical="center" wrapText="1"/>
    </xf>
    <xf numFmtId="0" fontId="6" fillId="0" borderId="0" xfId="0" applyFont="1" applyAlignment="1">
      <alignment vertical="center" wrapText="1"/>
    </xf>
    <xf numFmtId="0" fontId="6" fillId="0" borderId="0" xfId="0" applyFont="1" applyFill="1" applyAlignment="1">
      <alignment vertical="center" wrapText="1"/>
    </xf>
    <xf numFmtId="0" fontId="14" fillId="0" borderId="0" xfId="0" applyFont="1" applyAlignment="1">
      <alignment vertical="center" wrapText="1"/>
    </xf>
    <xf numFmtId="0" fontId="1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0" xfId="0" applyFont="1" applyAlignment="1">
      <alignment vertical="center" wrapText="1"/>
    </xf>
    <xf numFmtId="0" fontId="4" fillId="0" borderId="0" xfId="0" applyFont="1" applyAlignment="1">
      <alignment vertical="center" wrapText="1"/>
    </xf>
    <xf numFmtId="0" fontId="3" fillId="0" borderId="0" xfId="0" applyFont="1" applyFill="1" applyBorder="1" applyAlignment="1">
      <alignment vertical="center" wrapText="1"/>
    </xf>
    <xf numFmtId="0" fontId="9" fillId="0" borderId="0" xfId="1" applyFill="1" applyBorder="1" applyAlignment="1">
      <alignment vertical="center" wrapText="1"/>
    </xf>
    <xf numFmtId="0" fontId="3" fillId="0" borderId="0" xfId="0" applyFont="1" applyAlignment="1">
      <alignment vertical="center" wrapText="1"/>
    </xf>
    <xf numFmtId="0" fontId="16" fillId="0" borderId="0" xfId="0" applyFont="1" applyAlignment="1">
      <alignment wrapText="1"/>
    </xf>
    <xf numFmtId="0" fontId="9" fillId="0" borderId="0" xfId="1" applyAlignment="1">
      <alignment vertical="center" wrapText="1"/>
    </xf>
    <xf numFmtId="0" fontId="3" fillId="0" borderId="0" xfId="0" applyFont="1" applyFill="1" applyAlignment="1">
      <alignment vertical="center" wrapText="1"/>
    </xf>
    <xf numFmtId="0" fontId="2" fillId="0" borderId="0" xfId="0" applyFont="1" applyFill="1" applyBorder="1" applyAlignment="1">
      <alignment vertical="center" wrapText="1"/>
    </xf>
    <xf numFmtId="0" fontId="14" fillId="0" borderId="0" xfId="0" applyFont="1" applyFill="1" applyBorder="1" applyAlignment="1">
      <alignment vertical="center" wrapText="1"/>
    </xf>
    <xf numFmtId="0" fontId="1" fillId="0" borderId="0" xfId="0" applyFont="1" applyFill="1" applyBorder="1" applyAlignment="1">
      <alignment vertical="center" wrapText="1"/>
    </xf>
    <xf numFmtId="0" fontId="1" fillId="0" borderId="0" xfId="0" applyFont="1" applyAlignment="1">
      <alignment vertical="center" wrapText="1"/>
    </xf>
    <xf numFmtId="0" fontId="1" fillId="0" borderId="0" xfId="0" applyFont="1" applyFill="1" applyBorder="1" applyAlignment="1">
      <alignment horizontal="center" vertical="center" wrapText="1"/>
    </xf>
    <xf numFmtId="0" fontId="6" fillId="0" borderId="9"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6" fillId="0" borderId="11" xfId="0" applyFont="1" applyFill="1" applyBorder="1" applyAlignment="1">
      <alignment horizontal="center" vertical="center" wrapText="1"/>
    </xf>
    <xf numFmtId="0" fontId="14" fillId="0" borderId="0" xfId="0" applyFont="1" applyFill="1" applyAlignment="1">
      <alignment vertical="center" wrapText="1"/>
    </xf>
    <xf numFmtId="0" fontId="0" fillId="0" borderId="0" xfId="0" applyAlignment="1">
      <alignment wrapText="1"/>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4" fillId="0" borderId="0" xfId="1" applyFont="1" applyFill="1" applyBorder="1" applyAlignment="1">
      <alignment vertical="center" wrapText="1"/>
    </xf>
    <xf numFmtId="0" fontId="1" fillId="0" borderId="0" xfId="1" applyFont="1" applyFill="1" applyBorder="1" applyAlignment="1">
      <alignment vertical="center" wrapText="1"/>
    </xf>
  </cellXfs>
  <cellStyles count="2">
    <cellStyle name="ハイパーリンク" xfId="1" builtinId="8"/>
    <cellStyle name="標準" xfId="0" builtinId="0"/>
  </cellStyles>
  <dxfs count="60">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b val="0"/>
        <i val="0"/>
        <strike val="0"/>
        <condense val="0"/>
        <extend val="0"/>
        <outline val="0"/>
        <shadow val="0"/>
        <u val="none"/>
        <vertAlign val="baseline"/>
        <sz val="10"/>
        <color theme="1"/>
        <name val="Verdana"/>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numFmt numFmtId="0" formatCode="General"/>
      <alignment horizontal="general" vertical="center" textRotation="0" wrapText="1" indent="0" justifyLastLine="0" shrinkToFit="0" readingOrder="0"/>
      <border diagonalUp="0" diagonalDown="0">
        <left/>
        <right/>
        <top style="thin">
          <color theme="8"/>
        </top>
        <bottom/>
      </border>
    </dxf>
    <dxf>
      <font>
        <b val="0"/>
        <i val="0"/>
        <strike val="0"/>
        <condense val="0"/>
        <extend val="0"/>
        <outline val="0"/>
        <shadow val="0"/>
        <u val="none"/>
        <vertAlign val="baseline"/>
        <sz val="10"/>
        <color theme="1"/>
        <name val="Verdana"/>
        <scheme val="none"/>
      </font>
      <numFmt numFmtId="0" formatCode="General"/>
      <alignment horizontal="general" vertical="center" textRotation="0" wrapText="1"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0"/>
        <color theme="1"/>
        <name val="Verdana"/>
        <scheme val="none"/>
      </font>
      <numFmt numFmtId="0" formatCode="General"/>
      <alignment horizontal="general" vertical="center" textRotation="0" wrapText="1" indent="0" justifyLastLine="0" shrinkToFit="0" readingOrder="0"/>
      <border diagonalUp="0" diagonalDown="0">
        <left/>
        <right/>
        <top style="thin">
          <color theme="8"/>
        </top>
        <bottom/>
        <vertical/>
        <horizontal/>
      </border>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border outline="0">
        <top style="thin">
          <color theme="8"/>
        </top>
      </border>
    </dxf>
    <dxf>
      <font>
        <strike val="0"/>
        <outline val="0"/>
        <shadow val="0"/>
        <u val="none"/>
        <vertAlign val="baseline"/>
        <sz val="10"/>
        <color theme="1"/>
        <name val="Verdana"/>
        <scheme val="none"/>
      </font>
      <alignment horizontal="general" textRotation="0" wrapText="1" indent="0" justifyLastLine="0" shrinkToFit="0" readingOrder="0"/>
    </dxf>
    <dxf>
      <font>
        <b/>
        <i val="0"/>
        <strike val="0"/>
        <condense val="0"/>
        <extend val="0"/>
        <outline val="0"/>
        <shadow val="0"/>
        <u val="none"/>
        <vertAlign val="baseline"/>
        <sz val="10"/>
        <color theme="0"/>
        <name val="Verdana"/>
        <scheme val="none"/>
      </font>
      <fill>
        <patternFill patternType="solid">
          <fgColor theme="8"/>
          <bgColor theme="8"/>
        </patternFill>
      </fill>
      <alignment horizontal="center" vertical="center"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b val="0"/>
        <i val="0"/>
        <strike val="0"/>
        <condense val="0"/>
        <extend val="0"/>
        <outline val="0"/>
        <shadow val="0"/>
        <u val="none"/>
        <vertAlign val="baseline"/>
        <sz val="10"/>
        <color theme="1"/>
        <name val="Verdana"/>
        <scheme val="none"/>
      </font>
      <numFmt numFmtId="0" formatCode="General"/>
      <alignment horizontal="general" vertical="bottom"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b val="0"/>
        <i val="0"/>
        <strike val="0"/>
        <condense val="0"/>
        <extend val="0"/>
        <outline val="0"/>
        <shadow val="0"/>
        <u val="none"/>
        <vertAlign val="baseline"/>
        <sz val="10"/>
        <color theme="1"/>
        <name val="Verdana"/>
        <scheme val="none"/>
      </font>
      <numFmt numFmtId="0" formatCode="General"/>
      <alignment horizontal="general" vertical="bottom"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font>
        <b val="0"/>
        <i val="0"/>
        <strike val="0"/>
        <condense val="0"/>
        <extend val="0"/>
        <outline val="0"/>
        <shadow val="0"/>
        <u val="none"/>
        <vertAlign val="baseline"/>
        <sz val="10"/>
        <color theme="1"/>
        <name val="Verdana"/>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numFmt numFmtId="0" formatCode="General"/>
      <alignment horizontal="general" vertical="center" textRotation="0" wrapText="1" indent="0" justifyLastLine="0" shrinkToFit="0" readingOrder="0"/>
      <border diagonalUp="0" diagonalDown="0" outline="0">
        <left/>
        <right/>
        <top style="thin">
          <color theme="8"/>
        </top>
        <bottom/>
      </border>
    </dxf>
    <dxf>
      <font>
        <strike val="0"/>
        <outline val="0"/>
        <shadow val="0"/>
        <u val="none"/>
        <vertAlign val="baseline"/>
        <sz val="10"/>
        <color theme="1"/>
        <name val="Verdana"/>
        <scheme val="none"/>
      </font>
      <numFmt numFmtId="0" formatCode="General"/>
      <alignment horizontal="general" textRotation="0" wrapText="1" indent="0" justifyLastLine="0" shrinkToFit="0" readingOrder="0"/>
    </dxf>
    <dxf>
      <border outline="0">
        <top style="thin">
          <color theme="8"/>
        </top>
      </border>
    </dxf>
    <dxf>
      <font>
        <strike val="0"/>
        <outline val="0"/>
        <shadow val="0"/>
        <u val="none"/>
        <vertAlign val="baseline"/>
        <sz val="10"/>
        <color theme="1"/>
        <name val="Verdana"/>
        <scheme val="none"/>
      </font>
      <alignment horizontal="general" textRotation="0" wrapText="1" indent="0" justifyLastLine="0" shrinkToFit="0" readingOrder="0"/>
    </dxf>
    <dxf>
      <font>
        <b/>
        <i val="0"/>
        <strike val="0"/>
        <condense val="0"/>
        <extend val="0"/>
        <outline val="0"/>
        <shadow val="0"/>
        <u val="none"/>
        <vertAlign val="baseline"/>
        <sz val="10"/>
        <color theme="0"/>
        <name val="Verdana"/>
        <scheme val="none"/>
      </font>
      <fill>
        <patternFill patternType="solid">
          <fgColor theme="8"/>
          <bgColor theme="8"/>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alignment textRotation="0" wrapText="1" indent="0" justifyLastLine="0" shrinkToFit="0" readingOrder="0"/>
    </dxf>
    <dxf>
      <font>
        <b val="0"/>
        <i val="0"/>
        <strike val="0"/>
        <condense val="0"/>
        <extend val="0"/>
        <outline val="0"/>
        <shadow val="0"/>
        <u val="none"/>
        <vertAlign val="baseline"/>
        <sz val="10"/>
        <color theme="1"/>
        <name val="Verdana"/>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border outline="0">
        <top style="medium">
          <color theme="0"/>
        </top>
      </border>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fill>
        <patternFill patternType="none">
          <fgColor indexed="64"/>
          <bgColor indexed="65"/>
        </patternFill>
      </fill>
      <alignment horizontal="center" vertical="center" textRotation="0" wrapText="1" indent="0" justifyLastLine="0" shrinkToFit="0" readingOrder="0"/>
    </dxf>
  </dxfs>
  <tableStyles count="0" defaultTableStyle="TableStyleLight13"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2" name="テーブル2" displayName="テーブル2" ref="A2:W97" totalsRowShown="0" headerRowDxfId="59" dataDxfId="58" tableBorderDxfId="57">
  <autoFilter ref="A2:W97"/>
  <tableColumns count="23">
    <tableColumn id="1" name="Library" dataDxfId="56"/>
    <tableColumn id="2" name="Library Application" dataDxfId="55"/>
    <tableColumn id="3" name="Language Support" dataDxfId="54"/>
    <tableColumn id="4" name="Model Support" dataDxfId="53"/>
    <tableColumn id="5" name="Library Features" dataDxfId="52"/>
    <tableColumn id="6" name="Library URL" dataDxfId="51"/>
    <tableColumn id="7" name="Category" dataDxfId="50"/>
    <tableColumn id="8" name="Subcategory" dataDxfId="49"/>
    <tableColumn id="9" name="Algorithm" dataDxfId="48"/>
    <tableColumn id="10" name="Algorithm Summary" dataDxfId="47"/>
    <tableColumn id="11" name="List of Parameters" dataDxfId="46"/>
    <tableColumn id="12" name="Benefits" dataDxfId="45"/>
    <tableColumn id="13" name="Limitations" dataDxfId="44"/>
    <tableColumn id="14" name="Paper URL" dataDxfId="43"/>
    <tableColumn id="15" name="Time Complexity_x000a_(low 1 2 3 high)2" dataDxfId="42"/>
    <tableColumn id="23" name="Space Complexity_x000a_(low 1 2 3 high)" dataDxfId="41"/>
    <tableColumn id="16" name="Comment" dataDxfId="40"/>
    <tableColumn id="17" name="Real" dataDxfId="39"/>
    <tableColumn id="18" name="Binary" dataDxfId="38"/>
    <tableColumn id="19" name="Categorical" dataDxfId="37"/>
    <tableColumn id="20" name="Rastringin Function" dataDxfId="36"/>
    <tableColumn id="21" name="列2" dataDxfId="35"/>
    <tableColumn id="22" name="列3" dataDxfId="34"/>
  </tableColumns>
  <tableStyleInfo name="TableStyleLight13" showFirstColumn="0" showLastColumn="0" showRowStripes="1" showColumnStripes="0"/>
</table>
</file>

<file path=xl/tables/table2.xml><?xml version="1.0" encoding="utf-8"?>
<table xmlns="http://schemas.openxmlformats.org/spreadsheetml/2006/main" id="3" name="テーブル3" displayName="テーブル3" ref="A1:J12" totalsRowShown="0" headerRowDxfId="33" dataDxfId="32" tableBorderDxfId="31">
  <autoFilter ref="A1:J12"/>
  <tableColumns count="10">
    <tableColumn id="1" name="Library" dataDxfId="30">
      <calculatedColumnFormula array="1">IFERROR(INDEX(#REF!, MATCH(0, COUNTIF($A$1:A1,#REF!), 0)),"")</calculatedColumnFormula>
    </tableColumn>
    <tableColumn id="2" name="Library Application" dataDxfId="29">
      <calculatedColumnFormula>_xlfn.IFNA(INDEX(#REF!,MATCH(テーブル3[[#This Row],[Library]],#REF!,0),2),"")</calculatedColumnFormula>
    </tableColumn>
    <tableColumn id="4" name="# Algorithms" dataDxfId="28">
      <calculatedColumnFormula>IF(OR(テーブル3[[#This Row],[Library]]="",テーブル3[[#This Row],[Library]]=0),"",COUNTIF(#REF!,テーブル3[[#This Row],[Library]]))</calculatedColumnFormula>
    </tableColumn>
    <tableColumn id="3" name="Algorithms*" dataDxfId="27">
      <calculatedColumnFormula>IF(OR(テーブル3[[#This Row],[Library]]="",テーブル3[[#This Row],[Library]]=0), "",ConcatenateIf(#REF!, テーブル3[[#This Row],[Library]],#REF!, ", "))</calculatedColumnFormula>
    </tableColumn>
    <tableColumn id="5" name="Language Support" dataDxfId="26">
      <calculatedColumnFormula>_xlfn.IFNA(INDEX(#REF!,MATCH(テーブル3[[#This Row],[Library]],#REF!,0),3),"")</calculatedColumnFormula>
    </tableColumn>
    <tableColumn id="11" name="Model Support" dataDxfId="25">
      <calculatedColumnFormula>_xlfn.IFNA(INDEX(#REF!,MATCH(テーブル3[[#This Row],[Library]],#REF!,0),4),"")</calculatedColumnFormula>
    </tableColumn>
    <tableColumn id="6" name="URL2" dataDxfId="24">
      <calculatedColumnFormula>_xlfn.IFNA(INDEX(#REF!,MATCH(テーブル3[[#This Row],[Library]],#REF!,0),5),"")</calculatedColumnFormula>
    </tableColumn>
    <tableColumn id="9" name="URL" dataDxfId="23">
      <calculatedColumnFormula>HYPERLINK(テーブル3[[#This Row],[URL2]])</calculatedColumnFormula>
    </tableColumn>
    <tableColumn id="7" name="Library Features" dataDxfId="22">
      <calculatedColumnFormula>_xlfn.IFNA(INDEX(#REF!,MATCH(テーブル3[[#This Row],[Library]],#REF!,0),6),"")</calculatedColumnFormula>
    </tableColumn>
    <tableColumn id="8" name="Library Limitations" dataDxfId="21">
      <calculatedColumnFormula>_xlfn.IFNA(INDEX(#REF!,MATCH(テーブル3[[#This Row],[Library]],#REF!,0),7),"")</calculatedColumnFormula>
    </tableColumn>
  </tableColumns>
  <tableStyleInfo name="TableStyleLight13" showFirstColumn="0" showLastColumn="0" showRowStripes="1" showColumnStripes="0"/>
</table>
</file>

<file path=xl/tables/table3.xml><?xml version="1.0" encoding="utf-8"?>
<table xmlns="http://schemas.openxmlformats.org/spreadsheetml/2006/main" id="7" name="テーブル38" displayName="テーブル38" ref="A1:R12" totalsRowShown="0" headerRowDxfId="20" dataDxfId="19" tableBorderDxfId="18">
  <autoFilter ref="A1:R12"/>
  <tableColumns count="18">
    <tableColumn id="1" name="Category" dataDxfId="17">
      <calculatedColumnFormula array="1">IFERROR(INDEX(#REF!, MATCH(0, COUNTIF($A$1:A1,#REF!), 0)),"")</calculatedColumnFormula>
    </tableColumn>
    <tableColumn id="6" name="Subcategory" dataDxfId="16">
      <calculatedColumnFormula>_xlfn.IFNA(INDEX(#REF!,MATCH(テーブル38[[#This Row],[Algorithm]],#REF!,0),2),"")</calculatedColumnFormula>
    </tableColumn>
    <tableColumn id="5" name="Algorithm" dataDxfId="15">
      <calculatedColumnFormula array="1">IFERROR(INDEX(#REF!, MATCH(0, COUNTIF($C$1:C1,#REF!), 0)),"")</calculatedColumnFormula>
    </tableColumn>
    <tableColumn id="2" name="Algorithm Summary" dataDxfId="14">
      <calculatedColumnFormula>_xlfn.IFNA(INDEX(#REF!,MATCH(テーブル38[[#This Row],[Algorithm]],#REF!,0),4),"")</calculatedColumnFormula>
    </tableColumn>
    <tableColumn id="4" name="# Libraries" dataDxfId="13">
      <calculatedColumnFormula>IF(テーブル38[[#This Row],[Category]]="","",COUNTIF(#REF!, テーブル38[[#This Row],[Algorithm]]))</calculatedColumnFormula>
    </tableColumn>
    <tableColumn id="3" name="Libraries" dataDxfId="12">
      <calculatedColumnFormula>IF(OR(テーブル38[[#This Row],[Category]]="",テーブル38[[#This Row],[Category]]=0), "",ConcatenateIf(#REF!, テーブル38[[#This Row],[Algorithm]],#REF!, ", "))</calculatedColumnFormula>
    </tableColumn>
    <tableColumn id="7" name="Stochastic/Deterministic" dataDxfId="11">
      <calculatedColumnFormula>_xlfn.IFNA(INDEX(#REF!,MATCH(テーブル38[[#This Row],[Algorithm]],#REF!,0),1),"")</calculatedColumnFormula>
    </tableColumn>
    <tableColumn id="8" name="Constrained" dataDxfId="10">
      <calculatedColumnFormula>_xlfn.IFNA(INDEX(#REF!,MATCH(テーブル38[[#This Row],[Algorithm]],#REF!,0),2),"")</calculatedColumnFormula>
    </tableColumn>
    <tableColumn id="9" name="Parallelisation" dataDxfId="9">
      <calculatedColumnFormula>_xlfn.IFNA(INDEX(#REF!,MATCH(テーブル38[[#This Row],[Algorithm]],#REF!,0),3),"")</calculatedColumnFormula>
    </tableColumn>
    <tableColumn id="10" name="List of Parameters" dataDxfId="8">
      <calculatedColumnFormula>_xlfn.IFNA(INDEX(#REF!,MATCH(テーブル38[[#This Row],[Algorithm]],#REF!,0),4),"")</calculatedColumnFormula>
    </tableColumn>
    <tableColumn id="11" name="Benefits" dataDxfId="7">
      <calculatedColumnFormula>_xlfn.IFNA(INDEX(#REF!,MATCH(テーブル38[[#This Row],[Algorithm]],#REF!,0),5),"")</calculatedColumnFormula>
    </tableColumn>
    <tableColumn id="12" name="Limitations" dataDxfId="6">
      <calculatedColumnFormula>_xlfn.IFNA(INDEX(#REF!,MATCH(テーブル38[[#This Row],[Algorithm]],#REF!,0),6),"")</calculatedColumnFormula>
    </tableColumn>
    <tableColumn id="13" name="Time Complexity_x000a_(low 1 2 3 high)" dataDxfId="5">
      <calculatedColumnFormula>_xlfn.IFNA(INDEX(#REF!,MATCH(テーブル38[[#This Row],[Algorithm]],#REF!,0),7),"")</calculatedColumnFormula>
    </tableColumn>
    <tableColumn id="14" name="Space Complexity_x000a_(low 1 2 3 high)" dataDxfId="4">
      <calculatedColumnFormula>_xlfn.IFNA(INDEX(#REF!,MATCH(テーブル38[[#This Row],[Algorithm]],#REF!,0),8),"")</calculatedColumnFormula>
    </tableColumn>
    <tableColumn id="15" name="Comments" dataDxfId="3">
      <calculatedColumnFormula>_xlfn.IFNA(INDEX(#REF!,MATCH(テーブル38[[#This Row],[Algorithm]],#REF!,0),9),"")</calculatedColumnFormula>
    </tableColumn>
    <tableColumn id="16" name="Real" dataDxfId="2">
      <calculatedColumnFormula>_xlfn.IFNA(INDEX(#REF!,MATCH(テーブル38[[#This Row],[Algorithm]],#REF!,0),10),"")</calculatedColumnFormula>
    </tableColumn>
    <tableColumn id="17" name="Binary" dataDxfId="1">
      <calculatedColumnFormula>_xlfn.IFNA(INDEX(#REF!,MATCH(テーブル38[[#This Row],[Algorithm]],#REF!,0),11),"")</calculatedColumnFormula>
    </tableColumn>
    <tableColumn id="18" name="Categorical" dataDxfId="0">
      <calculatedColumnFormula>_xlfn.IFNA(INDEX(#REF!,MATCH(テーブル38[[#This Row],[Algorithm]],#REF!,0),12),"")</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https://arxiv.org/pdf/1604.07269.pdf" TargetMode="External"/><Relationship Id="rId18" Type="http://schemas.openxmlformats.org/officeDocument/2006/relationships/hyperlink" Target="https://ilija139.github.io/pub/aaai-17.pdf" TargetMode="External"/><Relationship Id="rId26" Type="http://schemas.openxmlformats.org/officeDocument/2006/relationships/hyperlink" Target="https://github.com/autonomio/talos" TargetMode="External"/><Relationship Id="rId39" Type="http://schemas.openxmlformats.org/officeDocument/2006/relationships/hyperlink" Target="https://github.com/HIPS/Spearmint" TargetMode="External"/><Relationship Id="rId21" Type="http://schemas.openxmlformats.org/officeDocument/2006/relationships/hyperlink" Target="https://github.com/autonomio/talos" TargetMode="External"/><Relationship Id="rId34" Type="http://schemas.openxmlformats.org/officeDocument/2006/relationships/hyperlink" Target="http://hyperopt.github.io/hyperopt/" TargetMode="External"/><Relationship Id="rId42" Type="http://schemas.openxmlformats.org/officeDocument/2006/relationships/hyperlink" Target="https://pdfs.semanticscholar.org/74d6/b7a3fda8ba7e9183ccbb8b697018b38864d7.pdf" TargetMode="External"/><Relationship Id="rId47" Type="http://schemas.openxmlformats.org/officeDocument/2006/relationships/hyperlink" Target="https://pdfs.semanticscholar.org/74d6/b7a3fda8ba7e9183ccbb8b697018b38864d7.pdf" TargetMode="External"/><Relationship Id="rId50" Type="http://schemas.openxmlformats.org/officeDocument/2006/relationships/hyperlink" Target="https://pdfs.semanticscholar.org/6d00/7fd5f734cb4c6c9457e22f46a58be5edb662.pdf" TargetMode="External"/><Relationship Id="rId55" Type="http://schemas.openxmlformats.org/officeDocument/2006/relationships/hyperlink" Target="https://pdfs.semanticscholar.org/74d6/b7a3fda8ba7e9183ccbb8b697018b38864d7.pdf" TargetMode="External"/><Relationship Id="rId7" Type="http://schemas.openxmlformats.org/officeDocument/2006/relationships/hyperlink" Target="https://papers.nips.cc/paper/4443-algorithms-for-hyper-parameter-optimization.pdf" TargetMode="External"/><Relationship Id="rId12" Type="http://schemas.openxmlformats.org/officeDocument/2006/relationships/hyperlink" Target="https://arxiv.org/pdf/1604.07269.pdf" TargetMode="External"/><Relationship Id="rId17" Type="http://schemas.openxmlformats.org/officeDocument/2006/relationships/hyperlink" Target="http://www.jmlr.org/papers/volume13/bergstra12a/bergstra12a.pdf" TargetMode="External"/><Relationship Id="rId25" Type="http://schemas.openxmlformats.org/officeDocument/2006/relationships/hyperlink" Target="https://github.com/autonomio/talos" TargetMode="External"/><Relationship Id="rId33" Type="http://schemas.openxmlformats.org/officeDocument/2006/relationships/hyperlink" Target="https://optunity.readthedocs.io/en/latest/user/solvers/random_search.html" TargetMode="External"/><Relationship Id="rId38" Type="http://schemas.openxmlformats.org/officeDocument/2006/relationships/hyperlink" Target="https://optunity.readthedocs.io/en/latest/user/solvers/random_search.html" TargetMode="External"/><Relationship Id="rId46" Type="http://schemas.openxmlformats.org/officeDocument/2006/relationships/hyperlink" Target="https://pdfs.semanticscholar.org/74d6/b7a3fda8ba7e9183ccbb8b697018b38864d7.pdf" TargetMode="External"/><Relationship Id="rId2" Type="http://schemas.openxmlformats.org/officeDocument/2006/relationships/hyperlink" Target="https://ieeexplore.ieee.org/document/7993009" TargetMode="External"/><Relationship Id="rId16" Type="http://schemas.openxmlformats.org/officeDocument/2006/relationships/hyperlink" Target="http://www.jmlr.org/papers/volume13/bergstra12a/bergstra12a.pdf" TargetMode="External"/><Relationship Id="rId20" Type="http://schemas.openxmlformats.org/officeDocument/2006/relationships/hyperlink" Target="https://github.com/autonomio/talos" TargetMode="External"/><Relationship Id="rId29" Type="http://schemas.openxmlformats.org/officeDocument/2006/relationships/hyperlink" Target="https://optunity.readthedocs.io/en/latest/api/optunity.solvers.CMAES.html" TargetMode="External"/><Relationship Id="rId41" Type="http://schemas.openxmlformats.org/officeDocument/2006/relationships/hyperlink" Target="https://github.com/HIPS/Spearmint" TargetMode="External"/><Relationship Id="rId54" Type="http://schemas.openxmlformats.org/officeDocument/2006/relationships/hyperlink" Target="http://www.jmlr.org/papers/volume13/bergstra12a/bergstra12a.pdf" TargetMode="External"/><Relationship Id="rId1" Type="http://schemas.openxmlformats.org/officeDocument/2006/relationships/hyperlink" Target="https://pdfs.semanticscholar.org/6d00/7fd5f734cb4c6c9457e22f46a58be5edb662.pdf" TargetMode="External"/><Relationship Id="rId6" Type="http://schemas.openxmlformats.org/officeDocument/2006/relationships/hyperlink" Target="http://www.jmlr.org/papers/volume13/bergstra12a/bergstra12a.pdf" TargetMode="External"/><Relationship Id="rId11" Type="http://schemas.openxmlformats.org/officeDocument/2006/relationships/hyperlink" Target="https://arxiv.org/pdf/1604.07269.pdf" TargetMode="External"/><Relationship Id="rId24" Type="http://schemas.openxmlformats.org/officeDocument/2006/relationships/hyperlink" Target="https://github.com/autonomio/talos" TargetMode="External"/><Relationship Id="rId32" Type="http://schemas.openxmlformats.org/officeDocument/2006/relationships/hyperlink" Target="https://optunity.readthedocs.io/en/latest/user/solvers/TPE.html" TargetMode="External"/><Relationship Id="rId37" Type="http://schemas.openxmlformats.org/officeDocument/2006/relationships/hyperlink" Target="https://papers.nips.cc/paper/4443-algorithms-for-hyper-parameter-optimization.pdf" TargetMode="External"/><Relationship Id="rId40" Type="http://schemas.openxmlformats.org/officeDocument/2006/relationships/hyperlink" Target="https://pdfs.semanticscholar.org/74d6/b7a3fda8ba7e9183ccbb8b697018b38864d7.pdf" TargetMode="External"/><Relationship Id="rId45" Type="http://schemas.openxmlformats.org/officeDocument/2006/relationships/hyperlink" Target="http://www.cs.ubc.ca/labs/beta/Projects/SMAC/papers/11-LION5-SMAC.pdf" TargetMode="External"/><Relationship Id="rId53" Type="http://schemas.openxmlformats.org/officeDocument/2006/relationships/hyperlink" Target="http://www.jmlr.org/papers/volume13/bergstra12a/bergstra12a.pdf" TargetMode="External"/><Relationship Id="rId5" Type="http://schemas.openxmlformats.org/officeDocument/2006/relationships/hyperlink" Target="https://papers.nips.cc/paper/4443-algorithms-for-hyper-parameter-optimization.pdf" TargetMode="External"/><Relationship Id="rId15" Type="http://schemas.openxmlformats.org/officeDocument/2006/relationships/hyperlink" Target="http://www.wseas.us/e-library/conferences/2009/cambridge/ISPRA/ISPRA09.pdf" TargetMode="External"/><Relationship Id="rId23" Type="http://schemas.openxmlformats.org/officeDocument/2006/relationships/hyperlink" Target="https://github.com/autonomio/talos" TargetMode="External"/><Relationship Id="rId28" Type="http://schemas.openxmlformats.org/officeDocument/2006/relationships/hyperlink" Target="https://github.com/coin-or/rbfopt" TargetMode="External"/><Relationship Id="rId36" Type="http://schemas.openxmlformats.org/officeDocument/2006/relationships/hyperlink" Target="https://optunity.readthedocs.io/en/latest/user/solvers/particle_swarm.html" TargetMode="External"/><Relationship Id="rId49" Type="http://schemas.openxmlformats.org/officeDocument/2006/relationships/hyperlink" Target="https://pdfs.semanticscholar.org/74d6/b7a3fda8ba7e9183ccbb8b697018b38864d7.pdf" TargetMode="External"/><Relationship Id="rId57" Type="http://schemas.openxmlformats.org/officeDocument/2006/relationships/table" Target="../tables/table1.xml"/><Relationship Id="rId10" Type="http://schemas.openxmlformats.org/officeDocument/2006/relationships/hyperlink" Target="https://ipsjcva.springeropen.com/articles/10.1186/s41074-017-0030-7" TargetMode="External"/><Relationship Id="rId19" Type="http://schemas.openxmlformats.org/officeDocument/2006/relationships/hyperlink" Target="https://github.com/autonomio/talos" TargetMode="External"/><Relationship Id="rId31" Type="http://schemas.openxmlformats.org/officeDocument/2006/relationships/hyperlink" Target="https://optunity.readthedocs.io/en/latest/user/solvers/random_search.html" TargetMode="External"/><Relationship Id="rId44" Type="http://schemas.openxmlformats.org/officeDocument/2006/relationships/hyperlink" Target="https://github.com/skylergrammer/SimulatedAnnealing" TargetMode="External"/><Relationship Id="rId52" Type="http://schemas.openxmlformats.org/officeDocument/2006/relationships/hyperlink" Target="https://pdfs.semanticscholar.org/74d6/b7a3fda8ba7e9183ccbb8b697018b38864d7.pdf" TargetMode="External"/><Relationship Id="rId4" Type="http://schemas.openxmlformats.org/officeDocument/2006/relationships/hyperlink" Target="https://papers.nips.cc/paper/4443-algorithms-for-hyper-parameter-optimization.pdf" TargetMode="External"/><Relationship Id="rId9" Type="http://schemas.openxmlformats.org/officeDocument/2006/relationships/hyperlink" Target="https://papers.nips.cc/paper/4443-algorithms-for-hyper-parameter-optimization.pdf" TargetMode="External"/><Relationship Id="rId14" Type="http://schemas.openxmlformats.org/officeDocument/2006/relationships/hyperlink" Target="https://www.nature.com/articles/nphoton.2010.197" TargetMode="External"/><Relationship Id="rId22" Type="http://schemas.openxmlformats.org/officeDocument/2006/relationships/hyperlink" Target="https://github.com/autonomio/talos" TargetMode="External"/><Relationship Id="rId27" Type="http://schemas.openxmlformats.org/officeDocument/2006/relationships/hyperlink" Target="https://github.com/AIworx-Labs/chocolate" TargetMode="External"/><Relationship Id="rId30" Type="http://schemas.openxmlformats.org/officeDocument/2006/relationships/hyperlink" Target="https://github.com/CMA-ES/pycma" TargetMode="External"/><Relationship Id="rId35" Type="http://schemas.openxmlformats.org/officeDocument/2006/relationships/hyperlink" Target="http://hyperopt.github.io/hyperopt/" TargetMode="External"/><Relationship Id="rId43" Type="http://schemas.openxmlformats.org/officeDocument/2006/relationships/hyperlink" Target="https://github.com/automl/SMAC3" TargetMode="External"/><Relationship Id="rId48" Type="http://schemas.openxmlformats.org/officeDocument/2006/relationships/hyperlink" Target="https://github.com/avaneev/biteopt" TargetMode="External"/><Relationship Id="rId56" Type="http://schemas.openxmlformats.org/officeDocument/2006/relationships/printerSettings" Target="../printerSettings/printerSettings1.bin"/><Relationship Id="rId8" Type="http://schemas.openxmlformats.org/officeDocument/2006/relationships/hyperlink" Target="http://www.jmlr.org/papers/volume13/bergstra12a/bergstra12a.pdf" TargetMode="External"/><Relationship Id="rId51" Type="http://schemas.openxmlformats.org/officeDocument/2006/relationships/hyperlink" Target="https://github.com/ljvmiranda921/pyswarms" TargetMode="External"/><Relationship Id="rId3" Type="http://schemas.openxmlformats.org/officeDocument/2006/relationships/hyperlink" Target="http://www.jmlr.org/papers/volume13/bergstra12a/bergstra12a.pdf"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97"/>
  <sheetViews>
    <sheetView tabSelected="1" topLeftCell="A28" zoomScale="85" zoomScaleNormal="85" workbookViewId="0">
      <selection activeCell="D34" sqref="D34"/>
    </sheetView>
  </sheetViews>
  <sheetFormatPr defaultRowHeight="14.5"/>
  <cols>
    <col min="1" max="1" width="16.90625" customWidth="1"/>
    <col min="2" max="2" width="40.453125" customWidth="1"/>
    <col min="3" max="3" width="28.81640625" customWidth="1"/>
    <col min="4" max="4" width="29.1796875" customWidth="1"/>
    <col min="5" max="5" width="43.54296875" customWidth="1"/>
    <col min="6" max="6" width="26.90625" customWidth="1"/>
    <col min="7" max="7" width="21.08984375" customWidth="1"/>
    <col min="8" max="8" width="26.1796875" customWidth="1"/>
    <col min="9" max="9" width="23.54296875" customWidth="1"/>
    <col min="10" max="10" width="42.08984375" customWidth="1"/>
    <col min="11" max="11" width="28.54296875" customWidth="1"/>
    <col min="12" max="12" width="30.1796875" customWidth="1"/>
    <col min="13" max="13" width="56.453125" customWidth="1"/>
    <col min="14" max="14" width="24.36328125" customWidth="1"/>
    <col min="15" max="15" width="20.90625" bestFit="1" customWidth="1"/>
    <col min="16" max="16" width="20.90625" customWidth="1"/>
    <col min="17" max="17" width="20.90625" bestFit="1" customWidth="1"/>
    <col min="18" max="18" width="14.1796875" bestFit="1" customWidth="1"/>
    <col min="19" max="19" width="16.26953125" customWidth="1"/>
    <col min="20" max="20" width="21.08984375" customWidth="1"/>
    <col min="21" max="21" width="30.36328125" customWidth="1"/>
    <col min="22" max="23" width="12.81640625" bestFit="1" customWidth="1"/>
  </cols>
  <sheetData>
    <row r="1" spans="1:23" ht="15" thickBot="1">
      <c r="A1" s="53" t="s">
        <v>47</v>
      </c>
      <c r="B1" s="54"/>
      <c r="C1" s="54"/>
      <c r="D1" s="54"/>
      <c r="E1" s="54"/>
      <c r="F1" s="54"/>
      <c r="G1" s="53" t="s">
        <v>44</v>
      </c>
      <c r="H1" s="54"/>
      <c r="I1" s="54"/>
      <c r="J1" s="55"/>
      <c r="K1" s="53" t="s">
        <v>102</v>
      </c>
      <c r="L1" s="54"/>
      <c r="M1" s="54"/>
      <c r="N1" s="54"/>
      <c r="O1" s="54"/>
      <c r="P1" s="54"/>
      <c r="Q1" s="55"/>
      <c r="R1" s="54" t="s">
        <v>13</v>
      </c>
      <c r="S1" s="54"/>
      <c r="T1" s="54"/>
      <c r="U1" s="53" t="s">
        <v>59</v>
      </c>
      <c r="V1" s="54"/>
      <c r="W1" s="55"/>
    </row>
    <row r="2" spans="1:23" ht="27">
      <c r="A2" s="27" t="s">
        <v>33</v>
      </c>
      <c r="B2" s="25" t="s">
        <v>1</v>
      </c>
      <c r="C2" s="25" t="s">
        <v>17</v>
      </c>
      <c r="D2" s="33" t="s">
        <v>53</v>
      </c>
      <c r="E2" s="48" t="s">
        <v>50</v>
      </c>
      <c r="F2" s="49" t="s">
        <v>131</v>
      </c>
      <c r="G2" s="25" t="s">
        <v>2</v>
      </c>
      <c r="H2" s="25" t="s">
        <v>3</v>
      </c>
      <c r="I2" s="25" t="s">
        <v>40</v>
      </c>
      <c r="J2" s="26" t="s">
        <v>16</v>
      </c>
      <c r="K2" s="25" t="s">
        <v>21</v>
      </c>
      <c r="L2" s="25" t="s">
        <v>9</v>
      </c>
      <c r="M2" s="25" t="s">
        <v>10</v>
      </c>
      <c r="N2" s="47" t="s">
        <v>132</v>
      </c>
      <c r="O2" s="25" t="s">
        <v>141</v>
      </c>
      <c r="P2" s="25" t="s">
        <v>4</v>
      </c>
      <c r="Q2" s="47" t="s">
        <v>157</v>
      </c>
      <c r="R2" s="27" t="s">
        <v>30</v>
      </c>
      <c r="S2" s="25" t="s">
        <v>43</v>
      </c>
      <c r="T2" s="50" t="s">
        <v>31</v>
      </c>
      <c r="U2" s="47" t="s">
        <v>146</v>
      </c>
      <c r="V2" s="33" t="s">
        <v>144</v>
      </c>
      <c r="W2" s="32" t="s">
        <v>145</v>
      </c>
    </row>
    <row r="3" spans="1:23" ht="94.5">
      <c r="A3" s="28" t="s">
        <v>6</v>
      </c>
      <c r="B3" s="28" t="s">
        <v>37</v>
      </c>
      <c r="C3" s="28" t="s">
        <v>18</v>
      </c>
      <c r="D3" s="37" t="s">
        <v>70</v>
      </c>
      <c r="E3" s="37" t="s">
        <v>83</v>
      </c>
      <c r="F3" s="12" t="s">
        <v>14</v>
      </c>
      <c r="G3" s="37" t="s">
        <v>72</v>
      </c>
      <c r="H3" s="37" t="s">
        <v>72</v>
      </c>
      <c r="I3" s="44" t="s">
        <v>133</v>
      </c>
      <c r="J3" s="45" t="s">
        <v>134</v>
      </c>
      <c r="K3" s="28" t="s">
        <v>8</v>
      </c>
      <c r="L3" s="34" t="s">
        <v>60</v>
      </c>
      <c r="M3" s="37" t="s">
        <v>69</v>
      </c>
      <c r="N3" s="38" t="s">
        <v>137</v>
      </c>
      <c r="O3" s="28">
        <v>1</v>
      </c>
      <c r="P3" s="28">
        <v>1</v>
      </c>
      <c r="Q3" s="45" t="s">
        <v>158</v>
      </c>
      <c r="R3" s="28" t="s">
        <v>0</v>
      </c>
      <c r="S3" s="28" t="s">
        <v>0</v>
      </c>
      <c r="T3" s="28" t="s">
        <v>0</v>
      </c>
      <c r="U3" s="35"/>
      <c r="V3" s="35"/>
      <c r="W3" s="31"/>
    </row>
    <row r="4" spans="1:23" ht="94.5">
      <c r="A4" s="28" t="s">
        <v>6</v>
      </c>
      <c r="B4" s="28" t="s">
        <v>37</v>
      </c>
      <c r="C4" s="28" t="s">
        <v>18</v>
      </c>
      <c r="D4" s="34" t="s">
        <v>54</v>
      </c>
      <c r="E4" s="37" t="s">
        <v>83</v>
      </c>
      <c r="F4" s="12" t="s">
        <v>14</v>
      </c>
      <c r="G4" s="37" t="s">
        <v>73</v>
      </c>
      <c r="H4" s="37" t="s">
        <v>74</v>
      </c>
      <c r="I4" s="37" t="s">
        <v>75</v>
      </c>
      <c r="J4" s="37" t="s">
        <v>45</v>
      </c>
      <c r="K4" s="45" t="s">
        <v>162</v>
      </c>
      <c r="L4" s="43" t="s">
        <v>94</v>
      </c>
      <c r="M4" s="45" t="s">
        <v>170</v>
      </c>
      <c r="N4" s="38" t="s">
        <v>143</v>
      </c>
      <c r="O4" s="28">
        <v>2</v>
      </c>
      <c r="P4" s="28">
        <v>1</v>
      </c>
      <c r="Q4" s="28"/>
      <c r="R4" s="28" t="s">
        <v>0</v>
      </c>
      <c r="S4" s="28" t="s">
        <v>0</v>
      </c>
      <c r="T4" s="28" t="s">
        <v>0</v>
      </c>
      <c r="U4" s="31"/>
      <c r="V4" s="31"/>
      <c r="W4" s="31"/>
    </row>
    <row r="5" spans="1:23" ht="94.5">
      <c r="A5" s="34" t="s">
        <v>58</v>
      </c>
      <c r="B5" s="34" t="s">
        <v>56</v>
      </c>
      <c r="C5" s="28" t="s">
        <v>18</v>
      </c>
      <c r="D5" s="34" t="s">
        <v>55</v>
      </c>
      <c r="E5" s="37" t="s">
        <v>83</v>
      </c>
      <c r="F5" s="12" t="s">
        <v>57</v>
      </c>
      <c r="G5" s="37" t="s">
        <v>72</v>
      </c>
      <c r="H5" s="37" t="s">
        <v>72</v>
      </c>
      <c r="I5" s="44" t="s">
        <v>133</v>
      </c>
      <c r="J5" s="45" t="s">
        <v>134</v>
      </c>
      <c r="K5" s="28" t="s">
        <v>8</v>
      </c>
      <c r="L5" s="34" t="s">
        <v>60</v>
      </c>
      <c r="M5" s="37" t="s">
        <v>69</v>
      </c>
      <c r="N5" s="38" t="s">
        <v>137</v>
      </c>
      <c r="O5" s="28">
        <v>1</v>
      </c>
      <c r="P5" s="28">
        <v>1</v>
      </c>
      <c r="Q5" s="28"/>
      <c r="R5" s="28" t="s">
        <v>0</v>
      </c>
      <c r="S5" s="28" t="s">
        <v>0</v>
      </c>
      <c r="T5" s="28" t="s">
        <v>0</v>
      </c>
      <c r="U5" s="31"/>
      <c r="V5" s="31"/>
      <c r="W5" s="31"/>
    </row>
    <row r="6" spans="1:23" ht="94.5">
      <c r="A6" s="34" t="s">
        <v>58</v>
      </c>
      <c r="B6" s="34" t="s">
        <v>56</v>
      </c>
      <c r="C6" s="28" t="s">
        <v>18</v>
      </c>
      <c r="D6" s="34" t="s">
        <v>55</v>
      </c>
      <c r="E6" s="37" t="s">
        <v>83</v>
      </c>
      <c r="F6" s="12" t="s">
        <v>57</v>
      </c>
      <c r="G6" s="37" t="s">
        <v>74</v>
      </c>
      <c r="H6" s="37" t="s">
        <v>73</v>
      </c>
      <c r="I6" s="37" t="s">
        <v>75</v>
      </c>
      <c r="J6" s="37" t="s">
        <v>45</v>
      </c>
      <c r="K6" s="45" t="s">
        <v>109</v>
      </c>
      <c r="L6" s="45" t="s">
        <v>108</v>
      </c>
      <c r="M6" s="45" t="s">
        <v>170</v>
      </c>
      <c r="N6" s="38" t="s">
        <v>143</v>
      </c>
      <c r="O6" s="28">
        <v>2</v>
      </c>
      <c r="P6" s="28">
        <v>1</v>
      </c>
      <c r="Q6" s="28"/>
      <c r="R6" s="28" t="s">
        <v>0</v>
      </c>
      <c r="S6" s="28" t="s">
        <v>0</v>
      </c>
      <c r="T6" s="28" t="s">
        <v>0</v>
      </c>
      <c r="U6" s="31"/>
      <c r="V6" s="31"/>
      <c r="W6" s="31"/>
    </row>
    <row r="7" spans="1:23" ht="94.5">
      <c r="A7" s="28" t="s">
        <v>7</v>
      </c>
      <c r="B7" s="28" t="s">
        <v>19</v>
      </c>
      <c r="C7" s="37" t="s">
        <v>62</v>
      </c>
      <c r="D7" s="34" t="s">
        <v>54</v>
      </c>
      <c r="E7" s="45" t="s">
        <v>107</v>
      </c>
      <c r="F7" s="12" t="s">
        <v>15</v>
      </c>
      <c r="G7" s="37" t="s">
        <v>74</v>
      </c>
      <c r="H7" s="37" t="s">
        <v>73</v>
      </c>
      <c r="I7" s="37" t="s">
        <v>75</v>
      </c>
      <c r="J7" s="37" t="s">
        <v>45</v>
      </c>
      <c r="K7" s="45" t="s">
        <v>162</v>
      </c>
      <c r="L7" s="45" t="s">
        <v>108</v>
      </c>
      <c r="M7" s="45" t="s">
        <v>170</v>
      </c>
      <c r="N7" s="38" t="s">
        <v>143</v>
      </c>
      <c r="O7" s="28">
        <v>2</v>
      </c>
      <c r="P7" s="28">
        <v>1</v>
      </c>
      <c r="Q7" s="28"/>
      <c r="R7" s="28" t="s">
        <v>0</v>
      </c>
      <c r="S7" s="28" t="s">
        <v>0</v>
      </c>
      <c r="T7" s="28" t="s">
        <v>0</v>
      </c>
      <c r="U7" s="31"/>
      <c r="V7" s="31"/>
      <c r="W7" s="31"/>
    </row>
    <row r="8" spans="1:23" ht="67.5">
      <c r="A8" s="28" t="s">
        <v>11</v>
      </c>
      <c r="B8" s="28" t="s">
        <v>19</v>
      </c>
      <c r="C8" s="37" t="s">
        <v>62</v>
      </c>
      <c r="D8" s="34" t="s">
        <v>54</v>
      </c>
      <c r="E8" s="45" t="s">
        <v>107</v>
      </c>
      <c r="F8" s="12" t="s">
        <v>15</v>
      </c>
      <c r="G8" s="37" t="s">
        <v>72</v>
      </c>
      <c r="H8" s="37" t="s">
        <v>72</v>
      </c>
      <c r="I8" s="44" t="s">
        <v>133</v>
      </c>
      <c r="J8" s="45" t="s">
        <v>134</v>
      </c>
      <c r="K8" s="28" t="s">
        <v>8</v>
      </c>
      <c r="L8" s="37" t="s">
        <v>60</v>
      </c>
      <c r="M8" s="37" t="s">
        <v>69</v>
      </c>
      <c r="N8" s="38" t="s">
        <v>137</v>
      </c>
      <c r="O8" s="28">
        <v>1</v>
      </c>
      <c r="P8" s="28">
        <v>1</v>
      </c>
      <c r="Q8" s="28"/>
      <c r="R8" s="28" t="s">
        <v>0</v>
      </c>
      <c r="S8" s="28" t="s">
        <v>0</v>
      </c>
      <c r="T8" s="28" t="s">
        <v>0</v>
      </c>
      <c r="U8" s="31"/>
      <c r="V8" s="31"/>
      <c r="W8" s="31"/>
    </row>
    <row r="9" spans="1:23" ht="67.5">
      <c r="A9" s="28" t="s">
        <v>7</v>
      </c>
      <c r="B9" s="28" t="s">
        <v>19</v>
      </c>
      <c r="C9" s="37" t="s">
        <v>62</v>
      </c>
      <c r="D9" s="34" t="s">
        <v>54</v>
      </c>
      <c r="E9" s="45" t="s">
        <v>107</v>
      </c>
      <c r="F9" s="12" t="s">
        <v>12</v>
      </c>
      <c r="G9" s="45" t="s">
        <v>161</v>
      </c>
      <c r="H9" s="37" t="s">
        <v>71</v>
      </c>
      <c r="I9" s="43" t="s">
        <v>87</v>
      </c>
      <c r="J9" s="37" t="s">
        <v>32</v>
      </c>
      <c r="K9" s="46" t="s">
        <v>113</v>
      </c>
      <c r="L9" s="45" t="s">
        <v>159</v>
      </c>
      <c r="M9" s="45" t="s">
        <v>156</v>
      </c>
      <c r="N9" s="38" t="s">
        <v>155</v>
      </c>
      <c r="O9" s="28">
        <v>2</v>
      </c>
      <c r="P9" s="28">
        <v>2</v>
      </c>
      <c r="Q9" s="28"/>
      <c r="R9" s="45" t="s">
        <v>95</v>
      </c>
      <c r="S9" s="45" t="s">
        <v>98</v>
      </c>
      <c r="T9" s="45" t="s">
        <v>98</v>
      </c>
      <c r="U9" s="31"/>
      <c r="V9" s="31"/>
      <c r="W9" s="31"/>
    </row>
    <row r="10" spans="1:23" ht="94.5">
      <c r="A10" s="28" t="s">
        <v>7</v>
      </c>
      <c r="B10" s="28" t="s">
        <v>19</v>
      </c>
      <c r="C10" s="37" t="s">
        <v>62</v>
      </c>
      <c r="D10" s="34" t="s">
        <v>54</v>
      </c>
      <c r="E10" s="45" t="s">
        <v>107</v>
      </c>
      <c r="F10" s="38" t="s">
        <v>63</v>
      </c>
      <c r="G10" s="37" t="s">
        <v>74</v>
      </c>
      <c r="H10" s="37" t="s">
        <v>73</v>
      </c>
      <c r="I10" s="37" t="s">
        <v>75</v>
      </c>
      <c r="J10" s="37" t="s">
        <v>20</v>
      </c>
      <c r="K10" s="45" t="s">
        <v>162</v>
      </c>
      <c r="L10" s="45" t="s">
        <v>108</v>
      </c>
      <c r="M10" s="45" t="s">
        <v>170</v>
      </c>
      <c r="N10" s="38" t="s">
        <v>143</v>
      </c>
      <c r="O10" s="28">
        <v>2</v>
      </c>
      <c r="P10" s="28">
        <v>1</v>
      </c>
      <c r="Q10" s="28"/>
      <c r="R10" s="28" t="s">
        <v>0</v>
      </c>
      <c r="S10" s="28" t="s">
        <v>0</v>
      </c>
      <c r="T10" s="28" t="s">
        <v>0</v>
      </c>
      <c r="U10" s="31"/>
      <c r="V10" s="31"/>
      <c r="W10" s="31"/>
    </row>
    <row r="11" spans="1:23" ht="81">
      <c r="A11" s="28" t="s">
        <v>7</v>
      </c>
      <c r="B11" s="28" t="s">
        <v>19</v>
      </c>
      <c r="C11" s="37" t="s">
        <v>62</v>
      </c>
      <c r="D11" s="34" t="s">
        <v>54</v>
      </c>
      <c r="E11" s="45" t="s">
        <v>107</v>
      </c>
      <c r="F11" s="38" t="s">
        <v>64</v>
      </c>
      <c r="G11" s="37" t="s">
        <v>65</v>
      </c>
      <c r="H11" s="37" t="s">
        <v>65</v>
      </c>
      <c r="I11" s="37" t="s">
        <v>65</v>
      </c>
      <c r="J11" s="40" t="s">
        <v>66</v>
      </c>
      <c r="K11" s="28" t="s">
        <v>8</v>
      </c>
      <c r="L11" s="45" t="s">
        <v>115</v>
      </c>
      <c r="M11" s="43" t="s">
        <v>93</v>
      </c>
      <c r="N11" s="28"/>
      <c r="O11" s="28">
        <v>3</v>
      </c>
      <c r="P11" s="28">
        <v>1</v>
      </c>
      <c r="Q11" s="28"/>
      <c r="R11" s="45" t="s">
        <v>98</v>
      </c>
      <c r="S11" s="43" t="s">
        <v>95</v>
      </c>
      <c r="T11" s="43" t="s">
        <v>95</v>
      </c>
      <c r="U11" s="31"/>
      <c r="V11" s="31"/>
      <c r="W11" s="31"/>
    </row>
    <row r="12" spans="1:23" ht="81.5">
      <c r="A12" s="28" t="s">
        <v>7</v>
      </c>
      <c r="B12" s="28" t="s">
        <v>19</v>
      </c>
      <c r="C12" s="37" t="s">
        <v>62</v>
      </c>
      <c r="D12" s="34" t="s">
        <v>54</v>
      </c>
      <c r="E12" s="45" t="s">
        <v>107</v>
      </c>
      <c r="F12" s="38" t="s">
        <v>82</v>
      </c>
      <c r="G12" s="43" t="s">
        <v>96</v>
      </c>
      <c r="H12" s="37" t="s">
        <v>78</v>
      </c>
      <c r="I12" s="37" t="s">
        <v>76</v>
      </c>
      <c r="J12" s="40" t="s">
        <v>79</v>
      </c>
      <c r="K12" s="43" t="s">
        <v>89</v>
      </c>
      <c r="L12" s="45" t="s">
        <v>160</v>
      </c>
      <c r="M12" s="43" t="s">
        <v>77</v>
      </c>
      <c r="N12" s="38" t="s">
        <v>142</v>
      </c>
      <c r="O12" s="28">
        <v>2</v>
      </c>
      <c r="P12" s="28">
        <v>1</v>
      </c>
      <c r="Q12" s="28"/>
      <c r="R12" s="43" t="s">
        <v>95</v>
      </c>
      <c r="S12" s="43" t="s">
        <v>95</v>
      </c>
      <c r="T12" s="43" t="s">
        <v>95</v>
      </c>
      <c r="U12" s="31"/>
      <c r="V12" s="31"/>
      <c r="W12" s="31"/>
    </row>
    <row r="13" spans="1:23" ht="67.5">
      <c r="A13" s="28" t="s">
        <v>7</v>
      </c>
      <c r="B13" s="28" t="s">
        <v>19</v>
      </c>
      <c r="C13" s="37" t="s">
        <v>62</v>
      </c>
      <c r="D13" s="34" t="s">
        <v>54</v>
      </c>
      <c r="E13" s="45" t="s">
        <v>107</v>
      </c>
      <c r="F13" s="38" t="s">
        <v>81</v>
      </c>
      <c r="G13" s="45" t="s">
        <v>161</v>
      </c>
      <c r="H13" s="37" t="s">
        <v>71</v>
      </c>
      <c r="I13" s="37" t="s">
        <v>80</v>
      </c>
      <c r="J13" s="40" t="s">
        <v>88</v>
      </c>
      <c r="K13" s="45" t="s">
        <v>103</v>
      </c>
      <c r="L13" s="45" t="s">
        <v>104</v>
      </c>
      <c r="M13" s="45" t="s">
        <v>105</v>
      </c>
      <c r="N13" s="41" t="s">
        <v>140</v>
      </c>
      <c r="O13" s="28">
        <v>2</v>
      </c>
      <c r="P13" s="28">
        <v>2</v>
      </c>
      <c r="Q13" s="28"/>
      <c r="R13" s="45" t="s">
        <v>95</v>
      </c>
      <c r="S13" s="45" t="s">
        <v>95</v>
      </c>
      <c r="T13" s="45" t="s">
        <v>95</v>
      </c>
      <c r="U13" s="41"/>
      <c r="V13" s="31"/>
      <c r="W13" s="31"/>
    </row>
    <row r="14" spans="1:23" ht="54.5">
      <c r="A14" s="44" t="s">
        <v>91</v>
      </c>
      <c r="B14" s="44" t="s">
        <v>92</v>
      </c>
      <c r="C14" s="44" t="s">
        <v>67</v>
      </c>
      <c r="D14" s="44" t="s">
        <v>86</v>
      </c>
      <c r="E14" s="45" t="s">
        <v>112</v>
      </c>
      <c r="F14" s="38" t="s">
        <v>90</v>
      </c>
      <c r="G14" s="45" t="s">
        <v>161</v>
      </c>
      <c r="H14" s="37" t="s">
        <v>71</v>
      </c>
      <c r="I14" s="37" t="s">
        <v>80</v>
      </c>
      <c r="J14" s="40" t="s">
        <v>88</v>
      </c>
      <c r="K14" s="45" t="s">
        <v>103</v>
      </c>
      <c r="L14" s="45" t="s">
        <v>104</v>
      </c>
      <c r="M14" s="45" t="s">
        <v>105</v>
      </c>
      <c r="N14" s="41" t="s">
        <v>140</v>
      </c>
      <c r="O14" s="44">
        <v>2</v>
      </c>
      <c r="P14" s="44">
        <v>2</v>
      </c>
      <c r="Q14" s="44"/>
      <c r="R14" s="45" t="s">
        <v>95</v>
      </c>
      <c r="S14" s="45" t="s">
        <v>95</v>
      </c>
      <c r="T14" s="45" t="s">
        <v>95</v>
      </c>
      <c r="U14" s="41"/>
      <c r="V14" s="31"/>
      <c r="W14" s="31"/>
    </row>
    <row r="15" spans="1:23" ht="94.5">
      <c r="A15" s="45" t="s">
        <v>101</v>
      </c>
      <c r="B15" s="45" t="s">
        <v>100</v>
      </c>
      <c r="C15" s="44" t="s">
        <v>67</v>
      </c>
      <c r="D15" s="44" t="s">
        <v>54</v>
      </c>
      <c r="E15" s="45" t="s">
        <v>106</v>
      </c>
      <c r="F15" s="38" t="s">
        <v>99</v>
      </c>
      <c r="G15" s="45" t="s">
        <v>161</v>
      </c>
      <c r="H15" s="37" t="s">
        <v>71</v>
      </c>
      <c r="I15" s="37" t="s">
        <v>80</v>
      </c>
      <c r="J15" s="40" t="s">
        <v>88</v>
      </c>
      <c r="K15" s="45" t="s">
        <v>103</v>
      </c>
      <c r="L15" s="45" t="s">
        <v>104</v>
      </c>
      <c r="M15" s="45" t="s">
        <v>105</v>
      </c>
      <c r="N15" s="41" t="s">
        <v>140</v>
      </c>
      <c r="O15" s="44">
        <v>2</v>
      </c>
      <c r="P15" s="44">
        <v>2</v>
      </c>
      <c r="Q15" s="44"/>
      <c r="R15" s="45" t="s">
        <v>95</v>
      </c>
      <c r="S15" s="45" t="s">
        <v>95</v>
      </c>
      <c r="T15" s="45" t="s">
        <v>95</v>
      </c>
      <c r="U15" s="41"/>
      <c r="V15" s="31"/>
      <c r="W15" s="31"/>
    </row>
    <row r="16" spans="1:23" ht="58">
      <c r="A16" s="39" t="s">
        <v>84</v>
      </c>
      <c r="B16" s="39" t="s">
        <v>85</v>
      </c>
      <c r="C16" s="42" t="s">
        <v>67</v>
      </c>
      <c r="D16" s="42" t="s">
        <v>86</v>
      </c>
      <c r="E16" s="45" t="s">
        <v>201</v>
      </c>
      <c r="F16" s="41" t="s">
        <v>200</v>
      </c>
      <c r="G16" s="45" t="s">
        <v>161</v>
      </c>
      <c r="H16" s="37" t="s">
        <v>71</v>
      </c>
      <c r="I16" s="28" t="s">
        <v>36</v>
      </c>
      <c r="J16" s="37" t="s">
        <v>32</v>
      </c>
      <c r="K16" s="46" t="s">
        <v>113</v>
      </c>
      <c r="L16" s="45" t="s">
        <v>159</v>
      </c>
      <c r="M16" s="45" t="s">
        <v>156</v>
      </c>
      <c r="N16" s="41" t="s">
        <v>155</v>
      </c>
      <c r="O16" s="28">
        <v>2</v>
      </c>
      <c r="P16" s="28">
        <v>2</v>
      </c>
      <c r="Q16" s="28"/>
      <c r="R16" s="45" t="s">
        <v>95</v>
      </c>
      <c r="S16" s="45" t="s">
        <v>98</v>
      </c>
      <c r="T16" s="45" t="s">
        <v>98</v>
      </c>
      <c r="U16" s="31"/>
      <c r="V16" s="31"/>
      <c r="W16" s="31"/>
    </row>
    <row r="17" spans="1:23" ht="67.5">
      <c r="A17" s="44" t="s">
        <v>110</v>
      </c>
      <c r="B17" s="44" t="s">
        <v>118</v>
      </c>
      <c r="C17" s="44" t="s">
        <v>67</v>
      </c>
      <c r="D17" s="44" t="s">
        <v>55</v>
      </c>
      <c r="E17" s="45" t="s">
        <v>119</v>
      </c>
      <c r="F17" s="38" t="s">
        <v>111</v>
      </c>
      <c r="G17" s="37" t="s">
        <v>72</v>
      </c>
      <c r="H17" s="44" t="s">
        <v>116</v>
      </c>
      <c r="I17" s="45" t="s">
        <v>126</v>
      </c>
      <c r="J17" s="44" t="s">
        <v>121</v>
      </c>
      <c r="K17" s="44" t="s">
        <v>89</v>
      </c>
      <c r="L17" s="45" t="s">
        <v>120</v>
      </c>
      <c r="M17" s="37" t="s">
        <v>69</v>
      </c>
      <c r="N17" s="41" t="s">
        <v>138</v>
      </c>
      <c r="O17" s="28">
        <v>1</v>
      </c>
      <c r="P17" s="28">
        <v>1</v>
      </c>
      <c r="Q17" s="28"/>
      <c r="R17" s="28" t="s">
        <v>0</v>
      </c>
      <c r="S17" s="28" t="s">
        <v>0</v>
      </c>
      <c r="T17" s="28" t="s">
        <v>0</v>
      </c>
      <c r="U17" s="41"/>
      <c r="V17" s="31"/>
      <c r="W17" s="31"/>
    </row>
    <row r="18" spans="1:23" ht="67.5">
      <c r="A18" s="44" t="s">
        <v>110</v>
      </c>
      <c r="B18" s="44" t="s">
        <v>118</v>
      </c>
      <c r="C18" s="44" t="s">
        <v>67</v>
      </c>
      <c r="D18" s="44" t="s">
        <v>55</v>
      </c>
      <c r="E18" s="45" t="s">
        <v>119</v>
      </c>
      <c r="F18" s="38" t="s">
        <v>111</v>
      </c>
      <c r="G18" s="37" t="s">
        <v>72</v>
      </c>
      <c r="H18" s="44" t="s">
        <v>116</v>
      </c>
      <c r="I18" s="46" t="s">
        <v>127</v>
      </c>
      <c r="J18" s="44" t="s">
        <v>117</v>
      </c>
      <c r="K18" s="44" t="s">
        <v>89</v>
      </c>
      <c r="L18" s="45" t="s">
        <v>120</v>
      </c>
      <c r="M18" s="37" t="s">
        <v>69</v>
      </c>
      <c r="N18" s="41" t="s">
        <v>139</v>
      </c>
      <c r="O18" s="44">
        <v>1</v>
      </c>
      <c r="P18" s="44">
        <v>1</v>
      </c>
      <c r="Q18" s="44"/>
      <c r="R18" s="28" t="s">
        <v>0</v>
      </c>
      <c r="S18" s="28" t="s">
        <v>0</v>
      </c>
      <c r="T18" s="28" t="s">
        <v>0</v>
      </c>
      <c r="U18" s="41"/>
      <c r="V18" s="31"/>
      <c r="W18" s="31"/>
    </row>
    <row r="19" spans="1:23" ht="67.5">
      <c r="A19" s="44" t="s">
        <v>110</v>
      </c>
      <c r="B19" s="44" t="s">
        <v>118</v>
      </c>
      <c r="C19" s="44" t="s">
        <v>67</v>
      </c>
      <c r="D19" s="44" t="s">
        <v>55</v>
      </c>
      <c r="E19" s="45" t="s">
        <v>119</v>
      </c>
      <c r="F19" s="38" t="s">
        <v>111</v>
      </c>
      <c r="G19" s="37" t="s">
        <v>72</v>
      </c>
      <c r="H19" s="44" t="s">
        <v>114</v>
      </c>
      <c r="I19" s="46" t="s">
        <v>128</v>
      </c>
      <c r="J19" s="44" t="s">
        <v>122</v>
      </c>
      <c r="K19" s="44" t="s">
        <v>89</v>
      </c>
      <c r="L19" s="45" t="s">
        <v>123</v>
      </c>
      <c r="M19" s="45" t="s">
        <v>69</v>
      </c>
      <c r="N19" s="41" t="s">
        <v>137</v>
      </c>
      <c r="O19" s="28">
        <v>1</v>
      </c>
      <c r="P19" s="28">
        <v>1</v>
      </c>
      <c r="Q19" s="28"/>
      <c r="R19" s="28" t="s">
        <v>0</v>
      </c>
      <c r="S19" s="28" t="s">
        <v>0</v>
      </c>
      <c r="T19" s="45" t="s">
        <v>95</v>
      </c>
      <c r="U19" s="41"/>
      <c r="V19" s="31"/>
      <c r="W19" s="31"/>
    </row>
    <row r="20" spans="1:23" ht="67.5">
      <c r="A20" s="44" t="s">
        <v>110</v>
      </c>
      <c r="B20" s="44" t="s">
        <v>118</v>
      </c>
      <c r="C20" s="44" t="s">
        <v>67</v>
      </c>
      <c r="D20" s="44" t="s">
        <v>55</v>
      </c>
      <c r="E20" s="45" t="s">
        <v>119</v>
      </c>
      <c r="F20" s="38" t="s">
        <v>111</v>
      </c>
      <c r="G20" s="37" t="s">
        <v>72</v>
      </c>
      <c r="H20" s="44" t="s">
        <v>114</v>
      </c>
      <c r="I20" s="46" t="s">
        <v>129</v>
      </c>
      <c r="J20" s="44" t="s">
        <v>124</v>
      </c>
      <c r="K20" s="44" t="s">
        <v>89</v>
      </c>
      <c r="L20" s="45" t="s">
        <v>123</v>
      </c>
      <c r="M20" s="45" t="s">
        <v>69</v>
      </c>
      <c r="N20" s="41" t="s">
        <v>137</v>
      </c>
      <c r="O20" s="28">
        <v>1</v>
      </c>
      <c r="P20" s="28">
        <v>1</v>
      </c>
      <c r="Q20" s="28"/>
      <c r="R20" s="28" t="s">
        <v>0</v>
      </c>
      <c r="S20" s="28" t="s">
        <v>0</v>
      </c>
      <c r="T20" s="28" t="s">
        <v>0</v>
      </c>
      <c r="U20" s="41"/>
      <c r="V20" s="31"/>
      <c r="W20" s="31"/>
    </row>
    <row r="21" spans="1:23" ht="67.5">
      <c r="A21" s="44" t="s">
        <v>110</v>
      </c>
      <c r="B21" s="44" t="s">
        <v>118</v>
      </c>
      <c r="C21" s="44" t="s">
        <v>67</v>
      </c>
      <c r="D21" s="44" t="s">
        <v>55</v>
      </c>
      <c r="E21" s="45" t="s">
        <v>119</v>
      </c>
      <c r="F21" s="38" t="s">
        <v>111</v>
      </c>
      <c r="G21" s="37" t="s">
        <v>72</v>
      </c>
      <c r="H21" s="44" t="s">
        <v>114</v>
      </c>
      <c r="I21" s="31" t="s">
        <v>125</v>
      </c>
      <c r="J21" s="45" t="s">
        <v>150</v>
      </c>
      <c r="K21" s="44" t="s">
        <v>89</v>
      </c>
      <c r="L21" s="45" t="s">
        <v>123</v>
      </c>
      <c r="M21" s="45" t="s">
        <v>69</v>
      </c>
      <c r="N21" s="38" t="s">
        <v>130</v>
      </c>
      <c r="O21" s="28">
        <v>1</v>
      </c>
      <c r="P21" s="28">
        <v>1</v>
      </c>
      <c r="Q21" s="28"/>
      <c r="R21" s="28" t="s">
        <v>0</v>
      </c>
      <c r="S21" s="28" t="s">
        <v>0</v>
      </c>
      <c r="T21" s="28" t="s">
        <v>0</v>
      </c>
      <c r="U21" s="38"/>
      <c r="V21" s="31"/>
      <c r="W21" s="31"/>
    </row>
    <row r="22" spans="1:23" ht="67.5">
      <c r="A22" s="44" t="s">
        <v>110</v>
      </c>
      <c r="B22" s="44" t="s">
        <v>118</v>
      </c>
      <c r="C22" s="44" t="s">
        <v>67</v>
      </c>
      <c r="D22" s="44" t="s">
        <v>55</v>
      </c>
      <c r="E22" s="45" t="s">
        <v>119</v>
      </c>
      <c r="F22" s="38" t="s">
        <v>111</v>
      </c>
      <c r="G22" s="37" t="s">
        <v>72</v>
      </c>
      <c r="H22" s="44" t="s">
        <v>114</v>
      </c>
      <c r="I22" s="31" t="s">
        <v>136</v>
      </c>
      <c r="J22" s="45" t="s">
        <v>149</v>
      </c>
      <c r="K22" s="44" t="s">
        <v>89</v>
      </c>
      <c r="L22" s="45" t="s">
        <v>123</v>
      </c>
      <c r="M22" s="45" t="s">
        <v>69</v>
      </c>
      <c r="N22" s="38" t="s">
        <v>130</v>
      </c>
      <c r="O22" s="28">
        <v>1</v>
      </c>
      <c r="P22" s="28">
        <v>1</v>
      </c>
      <c r="Q22" s="28"/>
      <c r="R22" s="28" t="s">
        <v>0</v>
      </c>
      <c r="S22" s="28" t="s">
        <v>0</v>
      </c>
      <c r="T22" s="28" t="s">
        <v>0</v>
      </c>
      <c r="U22" s="38"/>
      <c r="V22" s="31"/>
      <c r="W22" s="31"/>
    </row>
    <row r="23" spans="1:23" ht="116">
      <c r="A23" s="44" t="s">
        <v>110</v>
      </c>
      <c r="B23" s="44" t="s">
        <v>118</v>
      </c>
      <c r="C23" s="44" t="s">
        <v>67</v>
      </c>
      <c r="D23" s="44" t="s">
        <v>55</v>
      </c>
      <c r="E23" s="45" t="s">
        <v>119</v>
      </c>
      <c r="F23" s="38" t="s">
        <v>111</v>
      </c>
      <c r="G23" s="37" t="s">
        <v>72</v>
      </c>
      <c r="H23" s="44" t="s">
        <v>114</v>
      </c>
      <c r="I23" s="31" t="s">
        <v>147</v>
      </c>
      <c r="J23" s="45" t="s">
        <v>154</v>
      </c>
      <c r="K23" s="44" t="s">
        <v>89</v>
      </c>
      <c r="L23" s="45" t="s">
        <v>123</v>
      </c>
      <c r="M23" s="45" t="s">
        <v>69</v>
      </c>
      <c r="N23" s="38" t="s">
        <v>148</v>
      </c>
      <c r="O23" s="28">
        <v>1</v>
      </c>
      <c r="P23" s="28">
        <v>1</v>
      </c>
      <c r="Q23" s="28"/>
      <c r="R23" s="28" t="s">
        <v>0</v>
      </c>
      <c r="S23" s="28" t="s">
        <v>0</v>
      </c>
      <c r="T23" s="28" t="s">
        <v>0</v>
      </c>
      <c r="U23" s="38"/>
      <c r="V23" s="31"/>
      <c r="W23" s="31"/>
    </row>
    <row r="24" spans="1:23" ht="67.5">
      <c r="A24" s="44" t="s">
        <v>110</v>
      </c>
      <c r="B24" s="44" t="s">
        <v>118</v>
      </c>
      <c r="C24" s="44" t="s">
        <v>67</v>
      </c>
      <c r="D24" s="44" t="s">
        <v>55</v>
      </c>
      <c r="E24" s="45" t="s">
        <v>119</v>
      </c>
      <c r="F24" s="38" t="s">
        <v>111</v>
      </c>
      <c r="G24" s="37" t="s">
        <v>72</v>
      </c>
      <c r="H24" s="44" t="s">
        <v>114</v>
      </c>
      <c r="I24" s="31" t="s">
        <v>151</v>
      </c>
      <c r="J24" s="45" t="s">
        <v>153</v>
      </c>
      <c r="K24" s="44" t="s">
        <v>89</v>
      </c>
      <c r="L24" s="45" t="s">
        <v>123</v>
      </c>
      <c r="M24" s="45" t="s">
        <v>69</v>
      </c>
      <c r="N24" s="38" t="s">
        <v>152</v>
      </c>
      <c r="O24" s="28">
        <v>1</v>
      </c>
      <c r="P24" s="28">
        <v>1</v>
      </c>
      <c r="Q24" s="28"/>
      <c r="R24" s="28" t="s">
        <v>0</v>
      </c>
      <c r="S24" s="28" t="s">
        <v>0</v>
      </c>
      <c r="T24" s="28" t="s">
        <v>0</v>
      </c>
      <c r="U24" s="38"/>
      <c r="V24" s="31"/>
      <c r="W24" s="31"/>
    </row>
    <row r="25" spans="1:23" ht="94.5">
      <c r="A25" s="28" t="s">
        <v>7</v>
      </c>
      <c r="B25" s="28" t="s">
        <v>19</v>
      </c>
      <c r="C25" s="37" t="s">
        <v>62</v>
      </c>
      <c r="D25" s="34" t="s">
        <v>54</v>
      </c>
      <c r="E25" s="45" t="s">
        <v>107</v>
      </c>
      <c r="F25" s="12" t="s">
        <v>15</v>
      </c>
      <c r="G25" s="37" t="s">
        <v>74</v>
      </c>
      <c r="H25" s="37" t="s">
        <v>73</v>
      </c>
      <c r="I25" s="37" t="s">
        <v>75</v>
      </c>
      <c r="J25" s="37" t="s">
        <v>45</v>
      </c>
      <c r="K25" s="45" t="s">
        <v>162</v>
      </c>
      <c r="L25" s="45" t="s">
        <v>108</v>
      </c>
      <c r="M25" s="45" t="s">
        <v>170</v>
      </c>
      <c r="N25" s="38" t="s">
        <v>143</v>
      </c>
      <c r="O25" s="28">
        <v>2</v>
      </c>
      <c r="P25" s="28">
        <v>1</v>
      </c>
      <c r="Q25" s="28"/>
      <c r="R25" s="28" t="s">
        <v>0</v>
      </c>
      <c r="S25" s="28" t="s">
        <v>0</v>
      </c>
      <c r="T25" s="28" t="s">
        <v>0</v>
      </c>
      <c r="U25" s="31"/>
      <c r="V25" s="31"/>
      <c r="W25" s="31"/>
    </row>
    <row r="26" spans="1:23" ht="58">
      <c r="A26" s="44" t="s">
        <v>163</v>
      </c>
      <c r="B26" s="44" t="s">
        <v>164</v>
      </c>
      <c r="C26" s="44" t="s">
        <v>67</v>
      </c>
      <c r="D26" s="45" t="s">
        <v>54</v>
      </c>
      <c r="E26" s="45" t="s">
        <v>185</v>
      </c>
      <c r="F26" s="38" t="s">
        <v>165</v>
      </c>
      <c r="G26" s="37" t="s">
        <v>74</v>
      </c>
      <c r="H26" s="37" t="s">
        <v>73</v>
      </c>
      <c r="I26" s="45" t="s">
        <v>166</v>
      </c>
      <c r="J26" s="45" t="s">
        <v>205</v>
      </c>
      <c r="K26" s="44" t="s">
        <v>168</v>
      </c>
      <c r="L26" s="44" t="s">
        <v>169</v>
      </c>
      <c r="M26" s="45" t="s">
        <v>171</v>
      </c>
      <c r="N26" s="38" t="s">
        <v>167</v>
      </c>
      <c r="O26" s="44">
        <v>2</v>
      </c>
      <c r="P26" s="44">
        <v>2</v>
      </c>
      <c r="Q26" s="45" t="s">
        <v>172</v>
      </c>
      <c r="R26" s="44" t="s">
        <v>95</v>
      </c>
      <c r="S26" s="44" t="s">
        <v>95</v>
      </c>
      <c r="T26" s="44" t="s">
        <v>95</v>
      </c>
      <c r="U26" s="31"/>
      <c r="V26" s="31"/>
      <c r="W26" s="31"/>
    </row>
    <row r="27" spans="1:23" ht="58">
      <c r="A27" s="44" t="s">
        <v>68</v>
      </c>
      <c r="B27" s="44" t="s">
        <v>164</v>
      </c>
      <c r="C27" s="44" t="s">
        <v>173</v>
      </c>
      <c r="D27" s="45" t="s">
        <v>54</v>
      </c>
      <c r="E27" s="46" t="s">
        <v>186</v>
      </c>
      <c r="F27" s="38" t="s">
        <v>165</v>
      </c>
      <c r="G27" s="37" t="s">
        <v>74</v>
      </c>
      <c r="H27" s="37" t="s">
        <v>73</v>
      </c>
      <c r="I27" s="45" t="s">
        <v>166</v>
      </c>
      <c r="J27" s="45" t="s">
        <v>205</v>
      </c>
      <c r="K27" s="44" t="s">
        <v>168</v>
      </c>
      <c r="L27" s="44" t="s">
        <v>169</v>
      </c>
      <c r="M27" s="45" t="s">
        <v>171</v>
      </c>
      <c r="N27" s="38" t="s">
        <v>167</v>
      </c>
      <c r="O27" s="44">
        <v>2</v>
      </c>
      <c r="P27" s="44">
        <v>2</v>
      </c>
      <c r="Q27" s="44" t="s">
        <v>172</v>
      </c>
      <c r="R27" s="44" t="s">
        <v>95</v>
      </c>
      <c r="S27" s="45" t="s">
        <v>95</v>
      </c>
      <c r="T27" s="45" t="s">
        <v>95</v>
      </c>
      <c r="U27" s="31"/>
      <c r="V27" s="31"/>
      <c r="W27" s="31"/>
    </row>
    <row r="28" spans="1:23" ht="54">
      <c r="A28" s="44" t="s">
        <v>175</v>
      </c>
      <c r="B28" s="44" t="s">
        <v>176</v>
      </c>
      <c r="C28" s="44" t="s">
        <v>67</v>
      </c>
      <c r="D28" s="45" t="s">
        <v>54</v>
      </c>
      <c r="E28" s="45" t="s">
        <v>187</v>
      </c>
      <c r="F28" s="38" t="s">
        <v>174</v>
      </c>
      <c r="G28" s="37" t="s">
        <v>74</v>
      </c>
      <c r="H28" s="37" t="s">
        <v>73</v>
      </c>
      <c r="I28" s="44" t="s">
        <v>177</v>
      </c>
      <c r="J28" s="44" t="s">
        <v>178</v>
      </c>
      <c r="K28" s="45" t="s">
        <v>184</v>
      </c>
      <c r="L28" s="44" t="s">
        <v>180</v>
      </c>
      <c r="M28" s="45" t="s">
        <v>188</v>
      </c>
      <c r="N28" s="38" t="s">
        <v>189</v>
      </c>
      <c r="O28" s="44">
        <v>2</v>
      </c>
      <c r="P28" s="44">
        <v>2</v>
      </c>
      <c r="Q28" s="44" t="s">
        <v>172</v>
      </c>
      <c r="R28" s="45" t="s">
        <v>98</v>
      </c>
      <c r="S28" s="45" t="s">
        <v>95</v>
      </c>
      <c r="T28" s="45" t="s">
        <v>95</v>
      </c>
      <c r="U28" s="31"/>
      <c r="V28" s="31"/>
      <c r="W28" s="31"/>
    </row>
    <row r="29" spans="1:23" ht="58">
      <c r="A29" s="45" t="s">
        <v>191</v>
      </c>
      <c r="B29" s="45" t="s">
        <v>192</v>
      </c>
      <c r="C29" s="44" t="s">
        <v>67</v>
      </c>
      <c r="D29" s="45" t="s">
        <v>86</v>
      </c>
      <c r="E29" s="45" t="s">
        <v>193</v>
      </c>
      <c r="F29" s="38" t="s">
        <v>190</v>
      </c>
      <c r="G29" s="37" t="s">
        <v>74</v>
      </c>
      <c r="H29" s="37" t="s">
        <v>73</v>
      </c>
      <c r="I29" s="45" t="s">
        <v>166</v>
      </c>
      <c r="J29" s="45" t="s">
        <v>205</v>
      </c>
      <c r="K29" s="44" t="s">
        <v>168</v>
      </c>
      <c r="L29" s="44" t="s">
        <v>169</v>
      </c>
      <c r="M29" s="45" t="s">
        <v>171</v>
      </c>
      <c r="N29" s="38" t="s">
        <v>167</v>
      </c>
      <c r="O29" s="44">
        <v>2</v>
      </c>
      <c r="P29" s="44">
        <v>2</v>
      </c>
      <c r="Q29" s="45" t="s">
        <v>172</v>
      </c>
      <c r="R29" s="44" t="s">
        <v>95</v>
      </c>
      <c r="S29" s="44" t="s">
        <v>95</v>
      </c>
      <c r="T29" s="44" t="s">
        <v>95</v>
      </c>
      <c r="U29" s="31"/>
      <c r="V29" s="31"/>
      <c r="W29" s="31"/>
    </row>
    <row r="30" spans="1:23" ht="58">
      <c r="A30" s="45" t="s">
        <v>195</v>
      </c>
      <c r="B30" s="45" t="s">
        <v>192</v>
      </c>
      <c r="C30" s="44" t="s">
        <v>67</v>
      </c>
      <c r="D30" s="45" t="s">
        <v>54</v>
      </c>
      <c r="E30" s="45" t="s">
        <v>193</v>
      </c>
      <c r="F30" s="38" t="s">
        <v>196</v>
      </c>
      <c r="G30" s="37" t="s">
        <v>74</v>
      </c>
      <c r="H30" s="37" t="s">
        <v>73</v>
      </c>
      <c r="I30" s="45" t="s">
        <v>166</v>
      </c>
      <c r="J30" s="45" t="s">
        <v>205</v>
      </c>
      <c r="K30" s="44" t="s">
        <v>168</v>
      </c>
      <c r="L30" s="44" t="s">
        <v>169</v>
      </c>
      <c r="M30" s="45" t="s">
        <v>171</v>
      </c>
      <c r="N30" s="38" t="s">
        <v>167</v>
      </c>
      <c r="O30" s="44">
        <v>2</v>
      </c>
      <c r="P30" s="44">
        <v>2</v>
      </c>
      <c r="Q30" s="45" t="s">
        <v>172</v>
      </c>
      <c r="R30" s="44" t="s">
        <v>95</v>
      </c>
      <c r="S30" s="44" t="s">
        <v>95</v>
      </c>
      <c r="T30" s="44" t="s">
        <v>95</v>
      </c>
      <c r="U30" s="31"/>
      <c r="V30" s="31"/>
      <c r="W30" s="31"/>
    </row>
    <row r="31" spans="1:23" ht="58">
      <c r="A31" s="45" t="s">
        <v>197</v>
      </c>
      <c r="B31" s="45" t="s">
        <v>192</v>
      </c>
      <c r="C31" s="44" t="s">
        <v>67</v>
      </c>
      <c r="D31" s="45" t="s">
        <v>54</v>
      </c>
      <c r="E31" s="45" t="s">
        <v>193</v>
      </c>
      <c r="F31" s="38" t="s">
        <v>194</v>
      </c>
      <c r="G31" s="37" t="s">
        <v>74</v>
      </c>
      <c r="H31" s="37" t="s">
        <v>73</v>
      </c>
      <c r="I31" s="45" t="s">
        <v>166</v>
      </c>
      <c r="J31" s="45" t="s">
        <v>205</v>
      </c>
      <c r="K31" s="44" t="s">
        <v>168</v>
      </c>
      <c r="L31" s="44" t="s">
        <v>169</v>
      </c>
      <c r="M31" s="45" t="s">
        <v>171</v>
      </c>
      <c r="N31" s="38" t="s">
        <v>167</v>
      </c>
      <c r="O31" s="44">
        <v>2</v>
      </c>
      <c r="P31" s="44">
        <v>2</v>
      </c>
      <c r="Q31" s="45" t="s">
        <v>172</v>
      </c>
      <c r="R31" s="44" t="s">
        <v>95</v>
      </c>
      <c r="S31" s="44" t="s">
        <v>95</v>
      </c>
      <c r="T31" s="44" t="s">
        <v>95</v>
      </c>
      <c r="U31" s="31"/>
      <c r="V31" s="31"/>
      <c r="W31" s="31"/>
    </row>
    <row r="32" spans="1:23" ht="29">
      <c r="A32" s="44" t="s">
        <v>183</v>
      </c>
      <c r="B32" s="46" t="s">
        <v>198</v>
      </c>
      <c r="C32" s="45" t="s">
        <v>67</v>
      </c>
      <c r="D32" s="34" t="s">
        <v>54</v>
      </c>
      <c r="E32" s="45" t="s">
        <v>212</v>
      </c>
      <c r="F32" s="38" t="s">
        <v>181</v>
      </c>
      <c r="G32" s="45" t="s">
        <v>161</v>
      </c>
      <c r="H32" s="45" t="s">
        <v>183</v>
      </c>
      <c r="I32" s="45" t="s">
        <v>183</v>
      </c>
      <c r="J32" s="44"/>
      <c r="K32" s="45" t="s">
        <v>89</v>
      </c>
      <c r="L32" s="44" t="s">
        <v>182</v>
      </c>
      <c r="M32" s="44"/>
      <c r="N32" s="56"/>
      <c r="O32" s="44"/>
      <c r="P32" s="44"/>
      <c r="Q32" s="44"/>
      <c r="R32" s="44"/>
      <c r="S32" s="44"/>
      <c r="T32" s="44"/>
      <c r="U32" s="31"/>
      <c r="V32" s="31"/>
      <c r="W32" s="31"/>
    </row>
    <row r="33" spans="1:23" ht="58">
      <c r="A33" s="44" t="s">
        <v>202</v>
      </c>
      <c r="B33" s="45" t="s">
        <v>203</v>
      </c>
      <c r="C33" s="45" t="s">
        <v>67</v>
      </c>
      <c r="D33" s="45" t="s">
        <v>204</v>
      </c>
      <c r="E33" s="45" t="s">
        <v>206</v>
      </c>
      <c r="F33" s="38" t="s">
        <v>199</v>
      </c>
      <c r="G33" s="37" t="s">
        <v>74</v>
      </c>
      <c r="H33" s="37" t="s">
        <v>73</v>
      </c>
      <c r="I33" s="45" t="s">
        <v>166</v>
      </c>
      <c r="J33" s="45" t="s">
        <v>179</v>
      </c>
      <c r="K33" s="44" t="s">
        <v>168</v>
      </c>
      <c r="L33" s="44" t="s">
        <v>169</v>
      </c>
      <c r="M33" s="45" t="s">
        <v>171</v>
      </c>
      <c r="N33" s="38" t="s">
        <v>167</v>
      </c>
      <c r="O33" s="44">
        <v>2</v>
      </c>
      <c r="P33" s="44">
        <v>2</v>
      </c>
      <c r="Q33" s="45" t="s">
        <v>172</v>
      </c>
      <c r="R33" s="44" t="s">
        <v>95</v>
      </c>
      <c r="S33" s="44" t="s">
        <v>95</v>
      </c>
      <c r="T33" s="44" t="s">
        <v>95</v>
      </c>
      <c r="U33" s="31"/>
      <c r="V33" s="31"/>
      <c r="W33" s="31"/>
    </row>
    <row r="34" spans="1:23" ht="81">
      <c r="A34" s="44" t="s">
        <v>202</v>
      </c>
      <c r="B34" s="45" t="s">
        <v>203</v>
      </c>
      <c r="C34" s="45" t="s">
        <v>67</v>
      </c>
      <c r="D34" s="45" t="s">
        <v>204</v>
      </c>
      <c r="E34" s="45" t="s">
        <v>206</v>
      </c>
      <c r="F34" s="38" t="s">
        <v>199</v>
      </c>
      <c r="G34" s="37" t="s">
        <v>65</v>
      </c>
      <c r="H34" s="37" t="s">
        <v>65</v>
      </c>
      <c r="I34" s="37" t="s">
        <v>65</v>
      </c>
      <c r="J34" s="40" t="s">
        <v>66</v>
      </c>
      <c r="K34" s="28" t="s">
        <v>8</v>
      </c>
      <c r="L34" s="45" t="s">
        <v>115</v>
      </c>
      <c r="M34" s="43" t="s">
        <v>93</v>
      </c>
      <c r="N34" s="28"/>
      <c r="O34" s="28">
        <v>3</v>
      </c>
      <c r="P34" s="28">
        <v>1</v>
      </c>
      <c r="Q34" s="28"/>
      <c r="R34" s="45" t="s">
        <v>98</v>
      </c>
      <c r="S34" s="43" t="s">
        <v>95</v>
      </c>
      <c r="T34" s="43" t="s">
        <v>95</v>
      </c>
      <c r="U34" s="31"/>
      <c r="V34" s="31"/>
      <c r="W34" s="31"/>
    </row>
    <row r="35" spans="1:23" ht="67.5">
      <c r="A35" s="44" t="s">
        <v>202</v>
      </c>
      <c r="B35" s="45" t="s">
        <v>203</v>
      </c>
      <c r="C35" s="45" t="s">
        <v>67</v>
      </c>
      <c r="D35" s="45" t="s">
        <v>204</v>
      </c>
      <c r="E35" s="45" t="s">
        <v>207</v>
      </c>
      <c r="F35" s="38" t="s">
        <v>199</v>
      </c>
      <c r="G35" s="37" t="s">
        <v>72</v>
      </c>
      <c r="H35" s="37" t="s">
        <v>72</v>
      </c>
      <c r="I35" s="44" t="s">
        <v>133</v>
      </c>
      <c r="J35" s="45" t="s">
        <v>134</v>
      </c>
      <c r="K35" s="28" t="s">
        <v>8</v>
      </c>
      <c r="L35" s="34" t="s">
        <v>60</v>
      </c>
      <c r="M35" s="37" t="s">
        <v>69</v>
      </c>
      <c r="N35" s="38" t="s">
        <v>137</v>
      </c>
      <c r="O35" s="28">
        <v>1</v>
      </c>
      <c r="P35" s="28">
        <v>1</v>
      </c>
      <c r="Q35" s="45" t="s">
        <v>158</v>
      </c>
      <c r="R35" s="28" t="s">
        <v>0</v>
      </c>
      <c r="S35" s="28" t="s">
        <v>0</v>
      </c>
      <c r="T35" s="28" t="s">
        <v>0</v>
      </c>
      <c r="U35" s="35"/>
      <c r="V35" s="35"/>
      <c r="W35" s="31"/>
    </row>
    <row r="36" spans="1:23" ht="67.5">
      <c r="A36" s="44" t="s">
        <v>202</v>
      </c>
      <c r="B36" s="45" t="s">
        <v>203</v>
      </c>
      <c r="C36" s="45" t="s">
        <v>67</v>
      </c>
      <c r="D36" s="45" t="s">
        <v>204</v>
      </c>
      <c r="E36" s="45" t="s">
        <v>207</v>
      </c>
      <c r="F36" s="38" t="s">
        <v>199</v>
      </c>
      <c r="G36" s="37" t="s">
        <v>72</v>
      </c>
      <c r="H36" s="45" t="s">
        <v>210</v>
      </c>
      <c r="I36" s="45" t="s">
        <v>208</v>
      </c>
      <c r="J36" s="45" t="s">
        <v>209</v>
      </c>
      <c r="K36" s="28" t="s">
        <v>8</v>
      </c>
      <c r="L36" s="34" t="s">
        <v>60</v>
      </c>
      <c r="M36" s="45" t="s">
        <v>215</v>
      </c>
      <c r="N36" s="38" t="s">
        <v>214</v>
      </c>
      <c r="O36" s="28">
        <v>1</v>
      </c>
      <c r="P36" s="28">
        <v>1</v>
      </c>
      <c r="Q36" s="45" t="s">
        <v>158</v>
      </c>
      <c r="R36" s="28" t="s">
        <v>0</v>
      </c>
      <c r="S36" s="28" t="s">
        <v>0</v>
      </c>
      <c r="T36" s="28" t="s">
        <v>0</v>
      </c>
      <c r="U36" s="46"/>
      <c r="V36" s="46"/>
      <c r="W36" s="46"/>
    </row>
    <row r="37" spans="1:23" ht="54">
      <c r="A37" s="44" t="s">
        <v>208</v>
      </c>
      <c r="B37" s="45" t="s">
        <v>211</v>
      </c>
      <c r="C37" s="45" t="s">
        <v>67</v>
      </c>
      <c r="D37" s="45" t="s">
        <v>204</v>
      </c>
      <c r="E37" s="45" t="s">
        <v>212</v>
      </c>
      <c r="F37" s="38" t="s">
        <v>213</v>
      </c>
      <c r="G37" s="37" t="s">
        <v>72</v>
      </c>
      <c r="H37" s="45" t="s">
        <v>210</v>
      </c>
      <c r="I37" s="45" t="s">
        <v>208</v>
      </c>
      <c r="J37" s="45" t="s">
        <v>209</v>
      </c>
      <c r="K37" s="28" t="s">
        <v>8</v>
      </c>
      <c r="L37" s="34" t="s">
        <v>60</v>
      </c>
      <c r="M37" s="45" t="s">
        <v>215</v>
      </c>
      <c r="N37" s="38" t="s">
        <v>214</v>
      </c>
      <c r="O37" s="28">
        <v>1</v>
      </c>
      <c r="P37" s="28">
        <v>1</v>
      </c>
      <c r="Q37" s="45" t="s">
        <v>158</v>
      </c>
      <c r="R37" s="28" t="s">
        <v>0</v>
      </c>
      <c r="S37" s="28" t="s">
        <v>0</v>
      </c>
      <c r="T37" s="28" t="s">
        <v>0</v>
      </c>
      <c r="U37" s="46"/>
      <c r="V37" s="46"/>
      <c r="W37" s="46"/>
    </row>
    <row r="38" spans="1:23" ht="54">
      <c r="A38" s="45" t="s">
        <v>216</v>
      </c>
      <c r="B38" s="45" t="s">
        <v>217</v>
      </c>
      <c r="C38" s="28" t="s">
        <v>18</v>
      </c>
      <c r="D38" s="34" t="s">
        <v>54</v>
      </c>
      <c r="E38" s="45" t="s">
        <v>224</v>
      </c>
      <c r="F38" s="12" t="s">
        <v>223</v>
      </c>
      <c r="G38" s="37" t="s">
        <v>72</v>
      </c>
      <c r="H38" s="37" t="s">
        <v>72</v>
      </c>
      <c r="I38" s="44" t="s">
        <v>133</v>
      </c>
      <c r="J38" s="45" t="s">
        <v>218</v>
      </c>
      <c r="K38" s="28" t="s">
        <v>8</v>
      </c>
      <c r="L38" s="34" t="s">
        <v>60</v>
      </c>
      <c r="M38" s="37" t="s">
        <v>69</v>
      </c>
      <c r="N38" s="38" t="s">
        <v>137</v>
      </c>
      <c r="O38" s="28">
        <v>1</v>
      </c>
      <c r="P38" s="28">
        <v>1</v>
      </c>
      <c r="Q38" s="45" t="s">
        <v>158</v>
      </c>
      <c r="R38" s="28" t="s">
        <v>0</v>
      </c>
      <c r="S38" s="28" t="s">
        <v>0</v>
      </c>
      <c r="T38" s="28" t="s">
        <v>0</v>
      </c>
      <c r="U38" s="35"/>
      <c r="V38" s="35"/>
      <c r="W38" s="31"/>
    </row>
    <row r="39" spans="1:23" ht="54">
      <c r="A39" s="45" t="s">
        <v>216</v>
      </c>
      <c r="B39" s="45" t="s">
        <v>217</v>
      </c>
      <c r="C39" s="28" t="s">
        <v>18</v>
      </c>
      <c r="D39" s="34" t="s">
        <v>54</v>
      </c>
      <c r="E39" s="45" t="s">
        <v>224</v>
      </c>
      <c r="F39" s="12" t="s">
        <v>223</v>
      </c>
      <c r="G39" s="37" t="s">
        <v>74</v>
      </c>
      <c r="H39" s="37" t="s">
        <v>74</v>
      </c>
      <c r="I39" s="45" t="s">
        <v>220</v>
      </c>
      <c r="J39" s="45" t="s">
        <v>221</v>
      </c>
      <c r="K39" s="45" t="s">
        <v>184</v>
      </c>
      <c r="L39" s="44" t="s">
        <v>180</v>
      </c>
      <c r="M39" s="45" t="s">
        <v>188</v>
      </c>
      <c r="N39" s="38"/>
      <c r="O39" s="44">
        <v>2</v>
      </c>
      <c r="P39" s="44">
        <v>2</v>
      </c>
      <c r="Q39" s="44" t="s">
        <v>172</v>
      </c>
      <c r="R39" s="45" t="s">
        <v>98</v>
      </c>
      <c r="S39" s="45" t="s">
        <v>95</v>
      </c>
      <c r="T39" s="45" t="s">
        <v>95</v>
      </c>
      <c r="U39" s="35"/>
      <c r="V39" s="35"/>
      <c r="W39" s="31"/>
    </row>
    <row r="40" spans="1:23" ht="54">
      <c r="A40" s="45" t="s">
        <v>216</v>
      </c>
      <c r="B40" s="45" t="s">
        <v>217</v>
      </c>
      <c r="C40" s="28" t="s">
        <v>18</v>
      </c>
      <c r="D40" s="34" t="s">
        <v>54</v>
      </c>
      <c r="E40" s="45" t="s">
        <v>224</v>
      </c>
      <c r="F40" s="12" t="s">
        <v>223</v>
      </c>
      <c r="G40" s="37" t="s">
        <v>74</v>
      </c>
      <c r="H40" s="37" t="s">
        <v>74</v>
      </c>
      <c r="I40" s="45" t="s">
        <v>219</v>
      </c>
      <c r="J40" s="45" t="s">
        <v>222</v>
      </c>
      <c r="K40" s="45" t="s">
        <v>184</v>
      </c>
      <c r="L40" s="44" t="s">
        <v>180</v>
      </c>
      <c r="M40" s="45" t="s">
        <v>188</v>
      </c>
      <c r="N40" s="38"/>
      <c r="O40" s="44">
        <v>2</v>
      </c>
      <c r="P40" s="44">
        <v>2</v>
      </c>
      <c r="Q40" s="44" t="s">
        <v>172</v>
      </c>
      <c r="R40" s="45" t="s">
        <v>98</v>
      </c>
      <c r="S40" s="45" t="s">
        <v>95</v>
      </c>
      <c r="T40" s="45" t="s">
        <v>95</v>
      </c>
      <c r="U40" s="35"/>
      <c r="V40" s="35"/>
      <c r="W40" s="31"/>
    </row>
    <row r="41" spans="1:23" ht="58">
      <c r="A41" s="45" t="s">
        <v>216</v>
      </c>
      <c r="B41" s="45" t="s">
        <v>217</v>
      </c>
      <c r="C41" s="28" t="s">
        <v>18</v>
      </c>
      <c r="D41" s="34" t="s">
        <v>54</v>
      </c>
      <c r="E41" s="45" t="s">
        <v>224</v>
      </c>
      <c r="F41" s="12" t="s">
        <v>223</v>
      </c>
      <c r="G41" s="37" t="s">
        <v>74</v>
      </c>
      <c r="H41" s="37" t="s">
        <v>73</v>
      </c>
      <c r="I41" s="45" t="s">
        <v>166</v>
      </c>
      <c r="J41" s="45" t="s">
        <v>179</v>
      </c>
      <c r="K41" s="44" t="s">
        <v>168</v>
      </c>
      <c r="L41" s="44" t="s">
        <v>169</v>
      </c>
      <c r="M41" s="45" t="s">
        <v>171</v>
      </c>
      <c r="N41" s="38" t="s">
        <v>167</v>
      </c>
      <c r="O41" s="44">
        <v>2</v>
      </c>
      <c r="P41" s="44">
        <v>2</v>
      </c>
      <c r="Q41" s="45" t="s">
        <v>172</v>
      </c>
      <c r="R41" s="44" t="s">
        <v>95</v>
      </c>
      <c r="S41" s="44" t="s">
        <v>95</v>
      </c>
      <c r="T41" s="44" t="s">
        <v>95</v>
      </c>
      <c r="U41" s="35"/>
      <c r="V41" s="35"/>
      <c r="W41" s="31"/>
    </row>
    <row r="42" spans="1:23" ht="54">
      <c r="A42" s="45" t="s">
        <v>228</v>
      </c>
      <c r="B42" s="45" t="s">
        <v>203</v>
      </c>
      <c r="C42" s="45" t="s">
        <v>67</v>
      </c>
      <c r="D42" s="45" t="s">
        <v>225</v>
      </c>
      <c r="E42" s="45" t="s">
        <v>226</v>
      </c>
      <c r="F42" s="38" t="s">
        <v>227</v>
      </c>
      <c r="G42" s="37" t="s">
        <v>72</v>
      </c>
      <c r="H42" s="45" t="s">
        <v>210</v>
      </c>
      <c r="I42" s="45" t="s">
        <v>208</v>
      </c>
      <c r="J42" s="45" t="s">
        <v>209</v>
      </c>
      <c r="K42" s="28" t="s">
        <v>8</v>
      </c>
      <c r="L42" s="34" t="s">
        <v>60</v>
      </c>
      <c r="M42" s="45" t="s">
        <v>215</v>
      </c>
      <c r="N42" s="38" t="s">
        <v>214</v>
      </c>
      <c r="O42" s="28">
        <v>1</v>
      </c>
      <c r="P42" s="28">
        <v>1</v>
      </c>
      <c r="Q42" s="45" t="s">
        <v>158</v>
      </c>
      <c r="R42" s="28" t="s">
        <v>0</v>
      </c>
      <c r="S42" s="28" t="s">
        <v>0</v>
      </c>
      <c r="T42" s="28" t="s">
        <v>0</v>
      </c>
      <c r="U42" s="46"/>
      <c r="V42" s="46"/>
      <c r="W42" s="46"/>
    </row>
    <row r="43" spans="1:23">
      <c r="A43" s="45"/>
      <c r="B43" s="45"/>
      <c r="C43" s="45"/>
      <c r="D43" s="45"/>
      <c r="E43" s="45"/>
      <c r="F43" s="57"/>
      <c r="G43" s="45"/>
      <c r="H43" s="45"/>
      <c r="I43" s="45"/>
      <c r="J43" s="45"/>
      <c r="K43" s="45"/>
      <c r="L43" s="45"/>
      <c r="M43" s="45"/>
      <c r="N43" s="57"/>
      <c r="O43" s="45"/>
      <c r="P43" s="45"/>
      <c r="Q43" s="45"/>
      <c r="R43" s="45"/>
      <c r="S43" s="45"/>
      <c r="T43" s="45"/>
      <c r="U43" s="46"/>
      <c r="V43" s="46"/>
      <c r="W43" s="46"/>
    </row>
    <row r="44" spans="1:23" ht="27">
      <c r="A44" s="29" t="s">
        <v>26</v>
      </c>
      <c r="B44" s="29"/>
      <c r="C44" s="30"/>
      <c r="D44" s="30"/>
      <c r="E44" s="13"/>
      <c r="F44" s="13" t="s">
        <v>25</v>
      </c>
      <c r="G44" s="29"/>
      <c r="H44" s="29"/>
      <c r="I44" s="36" t="s">
        <v>61</v>
      </c>
      <c r="J44" s="39"/>
      <c r="K44" s="29"/>
      <c r="L44" s="29"/>
      <c r="M44" s="29"/>
      <c r="N44" s="29"/>
      <c r="O44" s="29"/>
      <c r="P44" s="29"/>
      <c r="Q44" s="29"/>
      <c r="R44" s="29"/>
      <c r="S44" s="29"/>
      <c r="T44" s="29"/>
      <c r="U44" s="31"/>
      <c r="V44" s="31"/>
      <c r="W44" s="31"/>
    </row>
    <row r="45" spans="1:23" ht="29">
      <c r="A45" s="29" t="s">
        <v>22</v>
      </c>
      <c r="B45" s="29"/>
      <c r="C45" s="30"/>
      <c r="D45" s="30"/>
      <c r="E45" s="41"/>
      <c r="F45" s="41" t="s">
        <v>97</v>
      </c>
      <c r="G45" s="29"/>
      <c r="H45" s="29"/>
      <c r="I45" s="29"/>
      <c r="J45" s="39"/>
      <c r="K45" s="29"/>
      <c r="L45" s="29"/>
      <c r="M45" s="29"/>
      <c r="N45" s="41" t="s">
        <v>135</v>
      </c>
      <c r="O45" s="29"/>
      <c r="P45" s="29"/>
      <c r="Q45" s="29"/>
      <c r="R45" s="29"/>
      <c r="S45" s="29"/>
      <c r="T45" s="29"/>
      <c r="U45" s="31"/>
      <c r="V45" s="31"/>
      <c r="W45" s="31"/>
    </row>
    <row r="46" spans="1:23">
      <c r="A46" s="29" t="s">
        <v>23</v>
      </c>
      <c r="B46" s="29"/>
      <c r="C46" s="30"/>
      <c r="D46" s="30"/>
      <c r="E46" s="29"/>
      <c r="F46" s="29"/>
      <c r="G46" s="29"/>
      <c r="H46" s="29"/>
      <c r="I46" s="29"/>
      <c r="J46" s="39"/>
      <c r="K46" s="29"/>
      <c r="L46" s="29"/>
      <c r="M46" s="29"/>
      <c r="N46" s="29"/>
      <c r="O46" s="29"/>
      <c r="P46" s="29"/>
      <c r="Q46" s="29"/>
      <c r="R46" s="29"/>
      <c r="S46" s="29"/>
      <c r="T46" s="29"/>
      <c r="U46" s="31"/>
      <c r="V46" s="31"/>
      <c r="W46" s="31"/>
    </row>
    <row r="47" spans="1:23">
      <c r="A47" s="29" t="s">
        <v>24</v>
      </c>
      <c r="B47" s="29"/>
      <c r="C47" s="30"/>
      <c r="D47" s="30"/>
      <c r="E47" s="13"/>
      <c r="F47" s="29"/>
      <c r="G47" s="29"/>
      <c r="H47" s="29"/>
      <c r="I47" s="29"/>
      <c r="J47" s="39"/>
      <c r="K47" s="29"/>
      <c r="L47" s="29"/>
      <c r="M47" s="29"/>
      <c r="N47" s="29"/>
      <c r="O47" s="29"/>
      <c r="P47" s="29"/>
      <c r="Q47" s="29"/>
      <c r="R47" s="29"/>
      <c r="S47" s="29"/>
      <c r="T47" s="29"/>
      <c r="U47" s="31"/>
      <c r="V47" s="31"/>
      <c r="W47" s="31"/>
    </row>
    <row r="48" spans="1:23">
      <c r="A48" s="31"/>
      <c r="B48" s="31"/>
      <c r="C48" s="51"/>
      <c r="D48" s="51"/>
      <c r="E48" s="29"/>
      <c r="F48" s="31"/>
      <c r="G48" s="31"/>
      <c r="H48" s="31"/>
      <c r="I48" s="31"/>
      <c r="J48" s="31"/>
      <c r="K48" s="31"/>
      <c r="L48" s="31"/>
      <c r="M48" s="31"/>
      <c r="N48" s="31"/>
      <c r="O48" s="31"/>
      <c r="P48" s="31"/>
      <c r="Q48" s="31"/>
      <c r="R48" s="31"/>
      <c r="S48" s="31"/>
      <c r="T48" s="31"/>
      <c r="U48" s="31"/>
      <c r="V48" s="31"/>
      <c r="W48" s="31"/>
    </row>
    <row r="49" spans="1:23">
      <c r="A49" s="31"/>
      <c r="B49" s="31"/>
      <c r="C49" s="51"/>
      <c r="D49" s="51"/>
      <c r="E49" s="29"/>
      <c r="F49" s="31"/>
      <c r="G49" s="31"/>
      <c r="H49" s="31"/>
      <c r="I49" s="31"/>
      <c r="J49" s="31"/>
      <c r="K49" s="31"/>
      <c r="L49" s="31"/>
      <c r="M49" s="31"/>
      <c r="N49" s="31"/>
      <c r="O49" s="31"/>
      <c r="P49" s="31"/>
      <c r="Q49" s="31"/>
      <c r="R49" s="31"/>
      <c r="S49" s="31"/>
      <c r="T49" s="31"/>
      <c r="U49" s="31"/>
      <c r="V49" s="31"/>
      <c r="W49" s="31"/>
    </row>
    <row r="50" spans="1:23">
      <c r="A50" s="31"/>
      <c r="B50" s="31"/>
      <c r="C50" s="51"/>
      <c r="D50" s="51"/>
      <c r="E50" s="29"/>
      <c r="F50" s="31"/>
      <c r="G50" s="31"/>
      <c r="H50" s="31"/>
      <c r="I50" s="31"/>
      <c r="J50" s="31"/>
      <c r="K50" s="31"/>
      <c r="L50" s="31"/>
      <c r="M50" s="31"/>
      <c r="N50" s="31"/>
      <c r="O50" s="31"/>
      <c r="P50" s="31"/>
      <c r="Q50" s="31"/>
      <c r="R50" s="31"/>
      <c r="S50" s="31"/>
      <c r="T50" s="31"/>
      <c r="U50" s="31"/>
      <c r="V50" s="31"/>
      <c r="W50" s="31"/>
    </row>
    <row r="51" spans="1:23">
      <c r="A51" s="31"/>
      <c r="B51" s="31"/>
      <c r="C51" s="51"/>
      <c r="D51" s="51"/>
      <c r="E51" s="29"/>
      <c r="F51" s="31"/>
      <c r="G51" s="31"/>
      <c r="H51" s="31"/>
      <c r="I51" s="31"/>
      <c r="J51" s="31"/>
      <c r="K51" s="31"/>
      <c r="L51" s="31"/>
      <c r="M51" s="31"/>
      <c r="N51" s="31"/>
      <c r="O51" s="31"/>
      <c r="P51" s="31"/>
      <c r="Q51" s="31"/>
      <c r="R51" s="31"/>
      <c r="S51" s="31"/>
      <c r="T51" s="31"/>
      <c r="U51" s="31"/>
      <c r="V51" s="31"/>
      <c r="W51" s="31"/>
    </row>
    <row r="52" spans="1:23">
      <c r="A52" s="31"/>
      <c r="B52" s="31"/>
      <c r="C52" s="51"/>
      <c r="D52" s="51"/>
      <c r="E52" s="29"/>
      <c r="F52" s="31"/>
      <c r="G52" s="31"/>
      <c r="H52" s="31"/>
      <c r="I52" s="31"/>
      <c r="J52" s="31"/>
      <c r="K52" s="31"/>
      <c r="L52" s="31"/>
      <c r="M52" s="31"/>
      <c r="N52" s="31"/>
      <c r="O52" s="31"/>
      <c r="P52" s="31"/>
      <c r="Q52" s="31"/>
      <c r="R52" s="31"/>
      <c r="S52" s="31"/>
      <c r="T52" s="31"/>
      <c r="U52" s="31"/>
      <c r="V52" s="31"/>
      <c r="W52" s="31"/>
    </row>
    <row r="53" spans="1:23">
      <c r="A53" s="31"/>
      <c r="B53" s="31"/>
      <c r="C53" s="51"/>
      <c r="D53" s="51"/>
      <c r="E53" s="29"/>
      <c r="F53" s="31"/>
      <c r="G53" s="31"/>
      <c r="H53" s="31"/>
      <c r="I53" s="31"/>
      <c r="J53" s="31"/>
      <c r="K53" s="31"/>
      <c r="L53" s="31"/>
      <c r="M53" s="31"/>
      <c r="N53" s="31"/>
      <c r="O53" s="31"/>
      <c r="P53" s="31"/>
      <c r="Q53" s="31"/>
      <c r="R53" s="31"/>
      <c r="S53" s="31"/>
      <c r="T53" s="31"/>
      <c r="U53" s="31"/>
      <c r="V53" s="31"/>
      <c r="W53" s="31"/>
    </row>
    <row r="54" spans="1:23">
      <c r="A54" s="31"/>
      <c r="B54" s="31"/>
      <c r="C54" s="51"/>
      <c r="D54" s="51"/>
      <c r="E54" s="29"/>
      <c r="F54" s="31"/>
      <c r="G54" s="31"/>
      <c r="H54" s="31"/>
      <c r="I54" s="31"/>
      <c r="J54" s="31"/>
      <c r="K54" s="31"/>
      <c r="L54" s="31"/>
      <c r="M54" s="31"/>
      <c r="N54" s="31"/>
      <c r="O54" s="31"/>
      <c r="P54" s="31"/>
      <c r="Q54" s="31"/>
      <c r="R54" s="31"/>
      <c r="S54" s="31"/>
      <c r="T54" s="31"/>
      <c r="U54" s="31"/>
      <c r="V54" s="31"/>
      <c r="W54" s="31"/>
    </row>
    <row r="55" spans="1:23">
      <c r="A55" s="31"/>
      <c r="B55" s="31"/>
      <c r="C55" s="51"/>
      <c r="D55" s="51"/>
      <c r="E55" s="29"/>
      <c r="F55" s="31"/>
      <c r="G55" s="31"/>
      <c r="H55" s="31"/>
      <c r="I55" s="31"/>
      <c r="J55" s="31"/>
      <c r="K55" s="31"/>
      <c r="L55" s="31"/>
      <c r="M55" s="31"/>
      <c r="N55" s="31"/>
      <c r="O55" s="31"/>
      <c r="P55" s="31"/>
      <c r="Q55" s="31"/>
      <c r="R55" s="31"/>
      <c r="S55" s="31"/>
      <c r="T55" s="31"/>
      <c r="U55" s="31"/>
      <c r="V55" s="31"/>
      <c r="W55" s="31"/>
    </row>
    <row r="56" spans="1:23">
      <c r="A56" s="31"/>
      <c r="B56" s="31"/>
      <c r="C56" s="51"/>
      <c r="D56" s="51"/>
      <c r="E56" s="29"/>
      <c r="F56" s="31"/>
      <c r="G56" s="31"/>
      <c r="H56" s="31"/>
      <c r="I56" s="31"/>
      <c r="J56" s="31"/>
      <c r="K56" s="31"/>
      <c r="L56" s="31"/>
      <c r="M56" s="31"/>
      <c r="N56" s="31"/>
      <c r="O56" s="31"/>
      <c r="P56" s="31"/>
      <c r="Q56" s="31"/>
      <c r="R56" s="31"/>
      <c r="S56" s="31"/>
      <c r="T56" s="31"/>
      <c r="U56" s="31"/>
      <c r="V56" s="31"/>
      <c r="W56" s="31"/>
    </row>
    <row r="57" spans="1:23">
      <c r="A57" s="31"/>
      <c r="B57" s="31"/>
      <c r="C57" s="51"/>
      <c r="D57" s="51"/>
      <c r="E57" s="29"/>
      <c r="F57" s="31"/>
      <c r="G57" s="31"/>
      <c r="H57" s="31"/>
      <c r="I57" s="31"/>
      <c r="J57" s="31"/>
      <c r="K57" s="31"/>
      <c r="L57" s="31"/>
      <c r="M57" s="31"/>
      <c r="N57" s="31"/>
      <c r="O57" s="31"/>
      <c r="P57" s="31"/>
      <c r="Q57" s="31"/>
      <c r="R57" s="31"/>
      <c r="S57" s="31"/>
      <c r="T57" s="31"/>
      <c r="U57" s="31"/>
      <c r="V57" s="31"/>
      <c r="W57" s="31"/>
    </row>
    <row r="58" spans="1:23">
      <c r="A58" s="31"/>
      <c r="B58" s="31"/>
      <c r="C58" s="51"/>
      <c r="D58" s="51"/>
      <c r="E58" s="29"/>
      <c r="F58" s="31"/>
      <c r="G58" s="31"/>
      <c r="H58" s="31"/>
      <c r="I58" s="31"/>
      <c r="J58" s="31"/>
      <c r="K58" s="31"/>
      <c r="L58" s="31"/>
      <c r="M58" s="31"/>
      <c r="N58" s="31"/>
      <c r="O58" s="31"/>
      <c r="P58" s="31"/>
      <c r="Q58" s="31"/>
      <c r="R58" s="31"/>
      <c r="S58" s="31"/>
      <c r="T58" s="31"/>
      <c r="U58" s="31"/>
      <c r="V58" s="31"/>
      <c r="W58" s="31"/>
    </row>
    <row r="59" spans="1:23">
      <c r="A59" s="31"/>
      <c r="B59" s="31"/>
      <c r="C59" s="51"/>
      <c r="D59" s="51"/>
      <c r="E59" s="29"/>
      <c r="F59" s="31"/>
      <c r="G59" s="31"/>
      <c r="H59" s="31"/>
      <c r="I59" s="31"/>
      <c r="J59" s="31"/>
      <c r="K59" s="31"/>
      <c r="L59" s="31"/>
      <c r="M59" s="31"/>
      <c r="N59" s="31"/>
      <c r="O59" s="31"/>
      <c r="P59" s="31"/>
      <c r="Q59" s="31"/>
      <c r="R59" s="31"/>
      <c r="S59" s="31"/>
      <c r="T59" s="31"/>
      <c r="U59" s="31"/>
      <c r="V59" s="31"/>
      <c r="W59" s="31"/>
    </row>
    <row r="60" spans="1:23">
      <c r="A60" s="31"/>
      <c r="B60" s="31"/>
      <c r="C60" s="51"/>
      <c r="D60" s="51"/>
      <c r="E60" s="29"/>
      <c r="F60" s="31"/>
      <c r="G60" s="31"/>
      <c r="H60" s="31"/>
      <c r="I60" s="31"/>
      <c r="J60" s="31"/>
      <c r="K60" s="31"/>
      <c r="L60" s="31"/>
      <c r="M60" s="31"/>
      <c r="N60" s="31"/>
      <c r="O60" s="31"/>
      <c r="P60" s="31"/>
      <c r="Q60" s="31"/>
      <c r="R60" s="31"/>
      <c r="S60" s="31"/>
      <c r="T60" s="31"/>
      <c r="U60" s="31"/>
      <c r="V60" s="31"/>
      <c r="W60" s="31"/>
    </row>
    <row r="61" spans="1:23">
      <c r="A61" s="31"/>
      <c r="B61" s="31"/>
      <c r="C61" s="51"/>
      <c r="D61" s="51"/>
      <c r="E61" s="29"/>
      <c r="F61" s="31"/>
      <c r="G61" s="31"/>
      <c r="H61" s="31"/>
      <c r="I61" s="31"/>
      <c r="J61" s="31"/>
      <c r="K61" s="31"/>
      <c r="L61" s="31"/>
      <c r="M61" s="31"/>
      <c r="N61" s="31"/>
      <c r="O61" s="31"/>
      <c r="P61" s="31"/>
      <c r="Q61" s="31"/>
      <c r="R61" s="31"/>
      <c r="S61" s="31"/>
      <c r="T61" s="31"/>
      <c r="U61" s="31"/>
      <c r="V61" s="31"/>
      <c r="W61" s="31"/>
    </row>
    <row r="62" spans="1:23">
      <c r="A62" s="31"/>
      <c r="B62" s="31"/>
      <c r="C62" s="51"/>
      <c r="D62" s="51"/>
      <c r="E62" s="29"/>
      <c r="F62" s="31"/>
      <c r="G62" s="31"/>
      <c r="H62" s="31"/>
      <c r="I62" s="31"/>
      <c r="J62" s="31"/>
      <c r="K62" s="31"/>
      <c r="L62" s="31"/>
      <c r="M62" s="31"/>
      <c r="N62" s="31"/>
      <c r="O62" s="31"/>
      <c r="P62" s="31"/>
      <c r="Q62" s="31"/>
      <c r="R62" s="31"/>
      <c r="S62" s="31"/>
      <c r="T62" s="31"/>
      <c r="U62" s="31"/>
      <c r="V62" s="31"/>
      <c r="W62" s="31"/>
    </row>
    <row r="63" spans="1:23">
      <c r="A63" s="31"/>
      <c r="B63" s="31"/>
      <c r="C63" s="51"/>
      <c r="D63" s="51"/>
      <c r="E63" s="29"/>
      <c r="F63" s="31"/>
      <c r="G63" s="31"/>
      <c r="H63" s="31"/>
      <c r="I63" s="31"/>
      <c r="J63" s="31"/>
      <c r="K63" s="31"/>
      <c r="L63" s="31"/>
      <c r="M63" s="31"/>
      <c r="N63" s="31"/>
      <c r="O63" s="31"/>
      <c r="P63" s="31"/>
      <c r="Q63" s="31"/>
      <c r="R63" s="31"/>
      <c r="S63" s="31"/>
      <c r="T63" s="31"/>
      <c r="U63" s="31"/>
      <c r="V63" s="31"/>
      <c r="W63" s="31"/>
    </row>
    <row r="64" spans="1:23">
      <c r="A64" s="31"/>
      <c r="B64" s="31"/>
      <c r="C64" s="51"/>
      <c r="D64" s="51"/>
      <c r="E64" s="29"/>
      <c r="F64" s="31"/>
      <c r="G64" s="31"/>
      <c r="H64" s="31"/>
      <c r="I64" s="31"/>
      <c r="J64" s="31"/>
      <c r="K64" s="31"/>
      <c r="L64" s="31"/>
      <c r="M64" s="31"/>
      <c r="N64" s="31"/>
      <c r="O64" s="31"/>
      <c r="P64" s="31"/>
      <c r="Q64" s="31"/>
      <c r="R64" s="31"/>
      <c r="S64" s="31"/>
      <c r="T64" s="31"/>
      <c r="U64" s="31"/>
      <c r="V64" s="31"/>
      <c r="W64" s="31"/>
    </row>
    <row r="65" spans="1:23">
      <c r="A65" s="31"/>
      <c r="B65" s="31"/>
      <c r="C65" s="51"/>
      <c r="D65" s="51"/>
      <c r="E65" s="29"/>
      <c r="F65" s="31"/>
      <c r="G65" s="31"/>
      <c r="H65" s="31"/>
      <c r="I65" s="31"/>
      <c r="J65" s="31"/>
      <c r="K65" s="31"/>
      <c r="L65" s="31"/>
      <c r="M65" s="31"/>
      <c r="N65" s="31"/>
      <c r="O65" s="31"/>
      <c r="P65" s="31"/>
      <c r="Q65" s="31"/>
      <c r="R65" s="31"/>
      <c r="S65" s="31"/>
      <c r="T65" s="31"/>
      <c r="U65" s="31"/>
      <c r="V65" s="31"/>
      <c r="W65" s="31"/>
    </row>
    <row r="66" spans="1:23">
      <c r="A66" s="31"/>
      <c r="B66" s="31"/>
      <c r="C66" s="51"/>
      <c r="D66" s="51"/>
      <c r="E66" s="29"/>
      <c r="F66" s="31"/>
      <c r="G66" s="31"/>
      <c r="H66" s="31"/>
      <c r="I66" s="31"/>
      <c r="J66" s="31"/>
      <c r="K66" s="31"/>
      <c r="L66" s="31"/>
      <c r="M66" s="31"/>
      <c r="N66" s="31"/>
      <c r="O66" s="31"/>
      <c r="P66" s="31"/>
      <c r="Q66" s="31"/>
      <c r="R66" s="31"/>
      <c r="S66" s="31"/>
      <c r="T66" s="31"/>
      <c r="U66" s="31"/>
      <c r="V66" s="31"/>
      <c r="W66" s="31"/>
    </row>
    <row r="67" spans="1:23">
      <c r="A67" s="31"/>
      <c r="B67" s="31"/>
      <c r="C67" s="51"/>
      <c r="D67" s="51"/>
      <c r="E67" s="29"/>
      <c r="F67" s="31"/>
      <c r="G67" s="31"/>
      <c r="H67" s="31"/>
      <c r="I67" s="31"/>
      <c r="J67" s="31"/>
      <c r="K67" s="31"/>
      <c r="L67" s="31"/>
      <c r="M67" s="31"/>
      <c r="N67" s="31"/>
      <c r="O67" s="31"/>
      <c r="P67" s="31"/>
      <c r="Q67" s="31"/>
      <c r="R67" s="31"/>
      <c r="S67" s="31"/>
      <c r="T67" s="31"/>
      <c r="U67" s="31"/>
      <c r="V67" s="31"/>
      <c r="W67" s="31"/>
    </row>
    <row r="68" spans="1:23">
      <c r="A68" s="31"/>
      <c r="B68" s="31"/>
      <c r="C68" s="51"/>
      <c r="D68" s="51"/>
      <c r="E68" s="29"/>
      <c r="F68" s="31"/>
      <c r="G68" s="31"/>
      <c r="H68" s="31"/>
      <c r="I68" s="31"/>
      <c r="J68" s="31"/>
      <c r="K68" s="31"/>
      <c r="L68" s="31"/>
      <c r="M68" s="31"/>
      <c r="N68" s="31"/>
      <c r="O68" s="31"/>
      <c r="P68" s="31"/>
      <c r="Q68" s="31"/>
      <c r="R68" s="31"/>
      <c r="S68" s="31"/>
      <c r="T68" s="31"/>
      <c r="U68" s="31"/>
      <c r="V68" s="31"/>
      <c r="W68" s="31"/>
    </row>
    <row r="69" spans="1:23">
      <c r="A69" s="31"/>
      <c r="B69" s="31"/>
      <c r="C69" s="51"/>
      <c r="D69" s="51"/>
      <c r="E69" s="29"/>
      <c r="F69" s="31"/>
      <c r="G69" s="31"/>
      <c r="H69" s="31"/>
      <c r="I69" s="31"/>
      <c r="J69" s="31"/>
      <c r="K69" s="31"/>
      <c r="L69" s="31"/>
      <c r="M69" s="31"/>
      <c r="N69" s="31"/>
      <c r="O69" s="31"/>
      <c r="P69" s="31"/>
      <c r="Q69" s="31"/>
      <c r="R69" s="31"/>
      <c r="S69" s="31"/>
      <c r="T69" s="31"/>
      <c r="U69" s="31"/>
      <c r="V69" s="31"/>
      <c r="W69" s="31"/>
    </row>
    <row r="70" spans="1:23">
      <c r="A70" s="31"/>
      <c r="B70" s="31"/>
      <c r="C70" s="51"/>
      <c r="D70" s="51"/>
      <c r="E70" s="29"/>
      <c r="F70" s="31"/>
      <c r="G70" s="31"/>
      <c r="H70" s="31"/>
      <c r="I70" s="31"/>
      <c r="J70" s="31"/>
      <c r="K70" s="31"/>
      <c r="L70" s="31"/>
      <c r="M70" s="31"/>
      <c r="N70" s="31"/>
      <c r="O70" s="31"/>
      <c r="P70" s="31"/>
      <c r="Q70" s="31"/>
      <c r="R70" s="31"/>
      <c r="S70" s="31"/>
      <c r="T70" s="31"/>
      <c r="U70" s="31"/>
      <c r="V70" s="31"/>
      <c r="W70" s="31"/>
    </row>
    <row r="71" spans="1:23">
      <c r="A71" s="31"/>
      <c r="B71" s="31"/>
      <c r="C71" s="51"/>
      <c r="D71" s="51"/>
      <c r="E71" s="29"/>
      <c r="F71" s="31"/>
      <c r="G71" s="31"/>
      <c r="H71" s="31"/>
      <c r="I71" s="31"/>
      <c r="J71" s="31"/>
      <c r="K71" s="31"/>
      <c r="L71" s="31"/>
      <c r="M71" s="31"/>
      <c r="N71" s="31"/>
      <c r="O71" s="31"/>
      <c r="P71" s="31"/>
      <c r="Q71" s="31"/>
      <c r="R71" s="31"/>
      <c r="S71" s="31"/>
      <c r="T71" s="31"/>
      <c r="U71" s="31"/>
      <c r="V71" s="31"/>
      <c r="W71" s="31"/>
    </row>
    <row r="72" spans="1:23">
      <c r="A72" s="31"/>
      <c r="B72" s="31"/>
      <c r="C72" s="51"/>
      <c r="D72" s="51"/>
      <c r="E72" s="29"/>
      <c r="F72" s="31"/>
      <c r="G72" s="31"/>
      <c r="H72" s="31"/>
      <c r="I72" s="31"/>
      <c r="J72" s="31"/>
      <c r="K72" s="31"/>
      <c r="L72" s="31"/>
      <c r="M72" s="31"/>
      <c r="N72" s="31"/>
      <c r="O72" s="31"/>
      <c r="P72" s="31"/>
      <c r="Q72" s="31"/>
      <c r="R72" s="31"/>
      <c r="S72" s="31"/>
      <c r="T72" s="31"/>
      <c r="U72" s="31"/>
      <c r="V72" s="31"/>
      <c r="W72" s="31"/>
    </row>
    <row r="73" spans="1:23">
      <c r="A73" s="31"/>
      <c r="B73" s="31"/>
      <c r="C73" s="51"/>
      <c r="D73" s="51"/>
      <c r="E73" s="29"/>
      <c r="F73" s="31"/>
      <c r="G73" s="31"/>
      <c r="H73" s="31"/>
      <c r="I73" s="31"/>
      <c r="J73" s="31"/>
      <c r="K73" s="31"/>
      <c r="L73" s="31"/>
      <c r="M73" s="31"/>
      <c r="N73" s="31"/>
      <c r="O73" s="31"/>
      <c r="P73" s="31"/>
      <c r="Q73" s="31"/>
      <c r="R73" s="31"/>
      <c r="S73" s="31"/>
      <c r="T73" s="31"/>
      <c r="U73" s="31"/>
      <c r="V73" s="31"/>
      <c r="W73" s="31"/>
    </row>
    <row r="74" spans="1:23">
      <c r="A74" s="31"/>
      <c r="B74" s="31"/>
      <c r="C74" s="51"/>
      <c r="D74" s="51"/>
      <c r="E74" s="29"/>
      <c r="F74" s="31"/>
      <c r="G74" s="31"/>
      <c r="H74" s="31"/>
      <c r="I74" s="31"/>
      <c r="J74" s="31"/>
      <c r="K74" s="31"/>
      <c r="L74" s="31"/>
      <c r="M74" s="31"/>
      <c r="N74" s="31"/>
      <c r="O74" s="31"/>
      <c r="P74" s="31"/>
      <c r="Q74" s="31"/>
      <c r="R74" s="31"/>
      <c r="S74" s="31"/>
      <c r="T74" s="31"/>
      <c r="U74" s="31"/>
      <c r="V74" s="31"/>
      <c r="W74" s="31"/>
    </row>
    <row r="75" spans="1:23">
      <c r="A75" s="31"/>
      <c r="B75" s="31"/>
      <c r="C75" s="51"/>
      <c r="D75" s="51"/>
      <c r="E75" s="29"/>
      <c r="F75" s="31"/>
      <c r="G75" s="31"/>
      <c r="H75" s="31"/>
      <c r="I75" s="31"/>
      <c r="J75" s="31"/>
      <c r="K75" s="31"/>
      <c r="L75" s="31"/>
      <c r="M75" s="31"/>
      <c r="N75" s="31"/>
      <c r="O75" s="31"/>
      <c r="P75" s="31"/>
      <c r="Q75" s="31"/>
      <c r="R75" s="31"/>
      <c r="S75" s="31"/>
      <c r="T75" s="31"/>
      <c r="U75" s="31"/>
      <c r="V75" s="31"/>
      <c r="W75" s="31"/>
    </row>
    <row r="76" spans="1:23">
      <c r="A76" s="31"/>
      <c r="B76" s="31"/>
      <c r="C76" s="51"/>
      <c r="D76" s="51"/>
      <c r="E76" s="29"/>
      <c r="F76" s="31"/>
      <c r="G76" s="31"/>
      <c r="H76" s="31"/>
      <c r="I76" s="31"/>
      <c r="J76" s="31"/>
      <c r="K76" s="31"/>
      <c r="L76" s="31"/>
      <c r="M76" s="31"/>
      <c r="N76" s="31"/>
      <c r="O76" s="31"/>
      <c r="P76" s="31"/>
      <c r="Q76" s="31"/>
      <c r="R76" s="31"/>
      <c r="S76" s="31"/>
      <c r="T76" s="31"/>
      <c r="U76" s="31"/>
      <c r="V76" s="31"/>
      <c r="W76" s="31"/>
    </row>
    <row r="77" spans="1:23">
      <c r="A77" s="31"/>
      <c r="B77" s="31"/>
      <c r="C77" s="51"/>
      <c r="D77" s="51"/>
      <c r="E77" s="52"/>
      <c r="F77" s="31"/>
      <c r="G77" s="31"/>
      <c r="H77" s="31"/>
      <c r="I77" s="31"/>
      <c r="J77" s="31"/>
      <c r="K77" s="31"/>
      <c r="L77" s="31"/>
      <c r="M77" s="31"/>
      <c r="N77" s="31"/>
      <c r="O77" s="31"/>
      <c r="P77" s="31"/>
      <c r="Q77" s="31"/>
      <c r="R77" s="31"/>
      <c r="S77" s="31"/>
      <c r="T77" s="31"/>
      <c r="U77" s="31"/>
      <c r="V77" s="31"/>
      <c r="W77" s="31"/>
    </row>
    <row r="78" spans="1:23">
      <c r="A78" s="31"/>
      <c r="B78" s="31"/>
      <c r="C78" s="51"/>
      <c r="D78" s="51"/>
      <c r="E78" s="52"/>
      <c r="F78" s="31"/>
      <c r="G78" s="31"/>
      <c r="H78" s="31"/>
      <c r="I78" s="31"/>
      <c r="J78" s="31"/>
      <c r="K78" s="31"/>
      <c r="L78" s="31"/>
      <c r="M78" s="31"/>
      <c r="N78" s="31"/>
      <c r="O78" s="31"/>
      <c r="P78" s="31"/>
      <c r="Q78" s="31"/>
      <c r="R78" s="31"/>
      <c r="S78" s="31"/>
      <c r="T78" s="31"/>
      <c r="U78" s="31"/>
      <c r="V78" s="31"/>
      <c r="W78" s="31"/>
    </row>
    <row r="79" spans="1:23">
      <c r="A79" s="31"/>
      <c r="B79" s="31"/>
      <c r="C79" s="51"/>
      <c r="D79" s="51"/>
      <c r="E79" s="52"/>
      <c r="F79" s="31"/>
      <c r="G79" s="31"/>
      <c r="H79" s="31"/>
      <c r="I79" s="31"/>
      <c r="J79" s="31"/>
      <c r="K79" s="31"/>
      <c r="L79" s="31"/>
      <c r="M79" s="31"/>
      <c r="N79" s="31"/>
      <c r="O79" s="31"/>
      <c r="P79" s="31"/>
      <c r="Q79" s="31"/>
      <c r="R79" s="31"/>
      <c r="S79" s="31"/>
      <c r="T79" s="31"/>
      <c r="U79" s="31"/>
      <c r="V79" s="31"/>
      <c r="W79" s="31"/>
    </row>
    <row r="80" spans="1:23">
      <c r="A80" s="31"/>
      <c r="B80" s="31"/>
      <c r="C80" s="51"/>
      <c r="D80" s="51"/>
      <c r="E80" s="52"/>
      <c r="F80" s="31"/>
      <c r="G80" s="31"/>
      <c r="H80" s="31"/>
      <c r="I80" s="31"/>
      <c r="J80" s="31"/>
      <c r="K80" s="31"/>
      <c r="L80" s="31"/>
      <c r="M80" s="31"/>
      <c r="N80" s="31"/>
      <c r="O80" s="31"/>
      <c r="P80" s="31"/>
      <c r="Q80" s="31"/>
      <c r="R80" s="31"/>
      <c r="S80" s="31"/>
      <c r="T80" s="31"/>
      <c r="U80" s="31"/>
      <c r="V80" s="31"/>
      <c r="W80" s="31"/>
    </row>
    <row r="81" spans="1:23">
      <c r="A81" s="31"/>
      <c r="B81" s="31"/>
      <c r="C81" s="51"/>
      <c r="D81" s="51"/>
      <c r="E81" s="52"/>
      <c r="F81" s="31"/>
      <c r="G81" s="31"/>
      <c r="H81" s="31"/>
      <c r="I81" s="31"/>
      <c r="J81" s="31"/>
      <c r="K81" s="31"/>
      <c r="L81" s="31"/>
      <c r="M81" s="31"/>
      <c r="N81" s="31"/>
      <c r="O81" s="31"/>
      <c r="P81" s="31"/>
      <c r="Q81" s="31"/>
      <c r="R81" s="31"/>
      <c r="S81" s="31"/>
      <c r="T81" s="31"/>
      <c r="U81" s="31"/>
      <c r="V81" s="31"/>
      <c r="W81" s="31"/>
    </row>
    <row r="82" spans="1:23">
      <c r="A82" s="31"/>
      <c r="B82" s="31"/>
      <c r="C82" s="51"/>
      <c r="D82" s="51"/>
      <c r="E82" s="52"/>
      <c r="F82" s="31"/>
      <c r="G82" s="31"/>
      <c r="H82" s="31"/>
      <c r="I82" s="31"/>
      <c r="J82" s="31"/>
      <c r="K82" s="31"/>
      <c r="L82" s="31"/>
      <c r="M82" s="31"/>
      <c r="N82" s="31"/>
      <c r="O82" s="31"/>
      <c r="P82" s="31"/>
      <c r="Q82" s="31"/>
      <c r="R82" s="31"/>
      <c r="S82" s="31"/>
      <c r="T82" s="31"/>
      <c r="U82" s="31"/>
      <c r="V82" s="31"/>
      <c r="W82" s="31"/>
    </row>
    <row r="83" spans="1:23">
      <c r="A83" s="31"/>
      <c r="B83" s="31"/>
      <c r="C83" s="51"/>
      <c r="D83" s="51"/>
      <c r="E83" s="52"/>
      <c r="F83" s="31"/>
      <c r="G83" s="31"/>
      <c r="H83" s="31"/>
      <c r="I83" s="31"/>
      <c r="J83" s="31"/>
      <c r="K83" s="31"/>
      <c r="L83" s="31"/>
      <c r="M83" s="31"/>
      <c r="N83" s="31"/>
      <c r="O83" s="31"/>
      <c r="P83" s="31"/>
      <c r="Q83" s="31"/>
      <c r="R83" s="31"/>
      <c r="S83" s="31"/>
      <c r="T83" s="31"/>
      <c r="U83" s="31"/>
      <c r="V83" s="31"/>
      <c r="W83" s="31"/>
    </row>
    <row r="84" spans="1:23">
      <c r="A84" s="31"/>
      <c r="B84" s="31"/>
      <c r="C84" s="51"/>
      <c r="D84" s="51"/>
      <c r="E84" s="52"/>
      <c r="F84" s="31"/>
      <c r="G84" s="31"/>
      <c r="H84" s="31"/>
      <c r="I84" s="31"/>
      <c r="J84" s="31"/>
      <c r="K84" s="31"/>
      <c r="L84" s="31"/>
      <c r="M84" s="31"/>
      <c r="N84" s="31"/>
      <c r="O84" s="31"/>
      <c r="P84" s="31"/>
      <c r="Q84" s="31"/>
      <c r="R84" s="31"/>
      <c r="S84" s="31"/>
      <c r="T84" s="31"/>
      <c r="U84" s="31"/>
      <c r="V84" s="31"/>
      <c r="W84" s="31"/>
    </row>
    <row r="85" spans="1:23">
      <c r="A85" s="31"/>
      <c r="B85" s="31"/>
      <c r="C85" s="51"/>
      <c r="D85" s="51"/>
      <c r="E85" s="52"/>
      <c r="F85" s="31"/>
      <c r="G85" s="31"/>
      <c r="H85" s="31"/>
      <c r="I85" s="31"/>
      <c r="J85" s="31"/>
      <c r="K85" s="31"/>
      <c r="L85" s="31"/>
      <c r="M85" s="31"/>
      <c r="N85" s="31"/>
      <c r="O85" s="31"/>
      <c r="P85" s="31"/>
      <c r="Q85" s="31"/>
      <c r="R85" s="31"/>
      <c r="S85" s="31"/>
      <c r="T85" s="31"/>
      <c r="U85" s="31"/>
      <c r="V85" s="31"/>
      <c r="W85" s="31"/>
    </row>
    <row r="86" spans="1:23">
      <c r="A86" s="31"/>
      <c r="B86" s="31"/>
      <c r="C86" s="51"/>
      <c r="D86" s="51"/>
      <c r="E86" s="52"/>
      <c r="F86" s="31"/>
      <c r="G86" s="31"/>
      <c r="H86" s="31"/>
      <c r="I86" s="31"/>
      <c r="J86" s="31"/>
      <c r="K86" s="31"/>
      <c r="L86" s="31"/>
      <c r="M86" s="31"/>
      <c r="N86" s="31"/>
      <c r="O86" s="31"/>
      <c r="P86" s="31"/>
      <c r="Q86" s="31"/>
      <c r="R86" s="31"/>
      <c r="S86" s="31"/>
      <c r="T86" s="31"/>
      <c r="U86" s="31"/>
      <c r="V86" s="31"/>
      <c r="W86" s="31"/>
    </row>
    <row r="87" spans="1:23">
      <c r="A87" s="31"/>
      <c r="B87" s="31"/>
      <c r="C87" s="51"/>
      <c r="D87" s="51"/>
      <c r="E87" s="52"/>
      <c r="F87" s="31"/>
      <c r="G87" s="31"/>
      <c r="H87" s="31"/>
      <c r="I87" s="31"/>
      <c r="J87" s="31"/>
      <c r="K87" s="31"/>
      <c r="L87" s="31"/>
      <c r="M87" s="31"/>
      <c r="N87" s="31"/>
      <c r="O87" s="31"/>
      <c r="P87" s="31"/>
      <c r="Q87" s="31"/>
      <c r="R87" s="31"/>
      <c r="S87" s="31"/>
      <c r="T87" s="31"/>
      <c r="U87" s="31"/>
      <c r="V87" s="31"/>
      <c r="W87" s="31"/>
    </row>
    <row r="88" spans="1:23">
      <c r="A88" s="31"/>
      <c r="B88" s="31"/>
      <c r="C88" s="51"/>
      <c r="D88" s="51"/>
      <c r="E88" s="52"/>
      <c r="F88" s="31"/>
      <c r="G88" s="31"/>
      <c r="H88" s="31"/>
      <c r="I88" s="31"/>
      <c r="J88" s="31"/>
      <c r="K88" s="31"/>
      <c r="L88" s="31"/>
      <c r="M88" s="31"/>
      <c r="N88" s="31"/>
      <c r="O88" s="31"/>
      <c r="P88" s="31"/>
      <c r="Q88" s="31"/>
      <c r="R88" s="31"/>
      <c r="S88" s="31"/>
      <c r="T88" s="31"/>
      <c r="U88" s="31"/>
      <c r="V88" s="31"/>
      <c r="W88" s="31"/>
    </row>
    <row r="89" spans="1:23">
      <c r="A89" s="31"/>
      <c r="B89" s="31"/>
      <c r="C89" s="51"/>
      <c r="D89" s="51"/>
      <c r="E89" s="52"/>
      <c r="F89" s="31"/>
      <c r="G89" s="31"/>
      <c r="H89" s="31"/>
      <c r="I89" s="31"/>
      <c r="J89" s="31"/>
      <c r="K89" s="31"/>
      <c r="L89" s="31"/>
      <c r="M89" s="31"/>
      <c r="N89" s="31"/>
      <c r="O89" s="31"/>
      <c r="P89" s="31"/>
      <c r="Q89" s="31"/>
      <c r="R89" s="31"/>
      <c r="S89" s="31"/>
      <c r="T89" s="31"/>
      <c r="U89" s="31"/>
      <c r="V89" s="31"/>
      <c r="W89" s="31"/>
    </row>
    <row r="90" spans="1:23">
      <c r="A90" s="31"/>
      <c r="B90" s="31"/>
      <c r="C90" s="51"/>
      <c r="D90" s="51"/>
      <c r="E90" s="52"/>
      <c r="F90" s="31"/>
      <c r="G90" s="31"/>
      <c r="H90" s="31"/>
      <c r="I90" s="31"/>
      <c r="J90" s="31"/>
      <c r="K90" s="31"/>
      <c r="L90" s="31"/>
      <c r="M90" s="31"/>
      <c r="N90" s="31"/>
      <c r="O90" s="31"/>
      <c r="P90" s="31"/>
      <c r="Q90" s="31"/>
      <c r="R90" s="31"/>
      <c r="S90" s="31"/>
      <c r="T90" s="31"/>
      <c r="U90" s="31"/>
      <c r="V90" s="31"/>
      <c r="W90" s="31"/>
    </row>
    <row r="91" spans="1:23">
      <c r="A91" s="31"/>
      <c r="B91" s="31"/>
      <c r="C91" s="51"/>
      <c r="D91" s="51"/>
      <c r="E91" s="52"/>
      <c r="F91" s="31"/>
      <c r="G91" s="31"/>
      <c r="H91" s="31"/>
      <c r="I91" s="31"/>
      <c r="J91" s="31"/>
      <c r="K91" s="31"/>
      <c r="L91" s="31"/>
      <c r="M91" s="31"/>
      <c r="N91" s="31"/>
      <c r="O91" s="31"/>
      <c r="P91" s="31"/>
      <c r="Q91" s="31"/>
      <c r="R91" s="31"/>
      <c r="S91" s="31"/>
      <c r="T91" s="31"/>
      <c r="U91" s="31"/>
      <c r="V91" s="31"/>
      <c r="W91" s="31"/>
    </row>
    <row r="92" spans="1:23">
      <c r="A92" s="31"/>
      <c r="B92" s="31"/>
      <c r="C92" s="51"/>
      <c r="D92" s="51"/>
      <c r="E92" s="52"/>
      <c r="F92" s="31"/>
      <c r="G92" s="31"/>
      <c r="H92" s="31"/>
      <c r="I92" s="31"/>
      <c r="J92" s="31"/>
      <c r="K92" s="31"/>
      <c r="L92" s="31"/>
      <c r="M92" s="31"/>
      <c r="N92" s="31"/>
      <c r="O92" s="31"/>
      <c r="P92" s="31"/>
      <c r="Q92" s="31"/>
      <c r="R92" s="31"/>
      <c r="S92" s="31"/>
      <c r="T92" s="31"/>
      <c r="U92" s="31"/>
      <c r="V92" s="31"/>
      <c r="W92" s="31"/>
    </row>
    <row r="93" spans="1:23">
      <c r="A93" s="31"/>
      <c r="B93" s="31"/>
      <c r="C93" s="51"/>
      <c r="D93" s="51"/>
      <c r="E93" s="52"/>
      <c r="F93" s="31"/>
      <c r="G93" s="31"/>
      <c r="H93" s="31"/>
      <c r="I93" s="31"/>
      <c r="J93" s="31"/>
      <c r="K93" s="31"/>
      <c r="L93" s="31"/>
      <c r="M93" s="31"/>
      <c r="N93" s="31"/>
      <c r="O93" s="31"/>
      <c r="P93" s="31"/>
      <c r="Q93" s="31"/>
      <c r="R93" s="31"/>
      <c r="S93" s="31"/>
      <c r="T93" s="31"/>
      <c r="U93" s="31"/>
      <c r="V93" s="31"/>
      <c r="W93" s="31"/>
    </row>
    <row r="94" spans="1:23">
      <c r="A94" s="31"/>
      <c r="B94" s="31"/>
      <c r="C94" s="51"/>
      <c r="D94" s="51"/>
      <c r="E94" s="52"/>
      <c r="F94" s="31"/>
      <c r="G94" s="31"/>
      <c r="H94" s="31"/>
      <c r="I94" s="31"/>
      <c r="J94" s="31"/>
      <c r="K94" s="31"/>
      <c r="L94" s="31"/>
      <c r="M94" s="31"/>
      <c r="N94" s="31"/>
      <c r="O94" s="31"/>
      <c r="P94" s="31"/>
      <c r="Q94" s="31"/>
      <c r="R94" s="31"/>
      <c r="S94" s="31"/>
      <c r="T94" s="31"/>
      <c r="U94" s="31"/>
      <c r="V94" s="31"/>
      <c r="W94" s="31"/>
    </row>
    <row r="95" spans="1:23">
      <c r="A95" s="31"/>
      <c r="B95" s="31"/>
      <c r="C95" s="51"/>
      <c r="D95" s="51"/>
      <c r="E95" s="52"/>
      <c r="F95" s="31"/>
      <c r="G95" s="31"/>
      <c r="H95" s="31"/>
      <c r="I95" s="31"/>
      <c r="J95" s="31"/>
      <c r="K95" s="31"/>
      <c r="L95" s="31"/>
      <c r="M95" s="31"/>
      <c r="N95" s="31"/>
      <c r="O95" s="31"/>
      <c r="P95" s="31"/>
      <c r="Q95" s="31"/>
      <c r="R95" s="31"/>
      <c r="S95" s="31"/>
      <c r="T95" s="31"/>
      <c r="U95" s="31"/>
      <c r="V95" s="31"/>
      <c r="W95" s="31"/>
    </row>
    <row r="96" spans="1:23">
      <c r="A96" s="31"/>
      <c r="B96" s="31"/>
      <c r="C96" s="51"/>
      <c r="D96" s="51"/>
      <c r="E96" s="52"/>
      <c r="F96" s="31"/>
      <c r="G96" s="31"/>
      <c r="H96" s="31"/>
      <c r="I96" s="31"/>
      <c r="J96" s="31"/>
      <c r="K96" s="31"/>
      <c r="L96" s="31"/>
      <c r="M96" s="31"/>
      <c r="N96" s="31"/>
      <c r="O96" s="31"/>
      <c r="P96" s="31"/>
      <c r="Q96" s="31"/>
      <c r="R96" s="31"/>
      <c r="S96" s="31"/>
      <c r="T96" s="31"/>
      <c r="U96" s="31"/>
      <c r="V96" s="31"/>
      <c r="W96" s="31"/>
    </row>
    <row r="97" spans="1:23">
      <c r="A97" s="31"/>
      <c r="B97" s="31"/>
      <c r="C97" s="51"/>
      <c r="D97" s="51"/>
      <c r="E97" s="52"/>
      <c r="F97" s="31"/>
      <c r="G97" s="31"/>
      <c r="H97" s="31"/>
      <c r="I97" s="31"/>
      <c r="J97" s="31"/>
      <c r="K97" s="31"/>
      <c r="L97" s="31"/>
      <c r="M97" s="31"/>
      <c r="N97" s="31"/>
      <c r="O97" s="31"/>
      <c r="P97" s="31"/>
      <c r="Q97" s="31"/>
      <c r="R97" s="31"/>
      <c r="S97" s="31"/>
      <c r="T97" s="31"/>
      <c r="U97" s="31"/>
      <c r="V97" s="31"/>
      <c r="W97" s="31"/>
    </row>
  </sheetData>
  <mergeCells count="5">
    <mergeCell ref="A1:F1"/>
    <mergeCell ref="G1:J1"/>
    <mergeCell ref="K1:Q1"/>
    <mergeCell ref="R1:T1"/>
    <mergeCell ref="U1:W1"/>
  </mergeCells>
  <hyperlinks>
    <hyperlink ref="N9" r:id="rId1"/>
    <hyperlink ref="N22" r:id="rId2"/>
    <hyperlink ref="N8" r:id="rId3"/>
    <hyperlink ref="N7" r:id="rId4"/>
    <hyperlink ref="N6" r:id="rId5"/>
    <hyperlink ref="N5" r:id="rId6"/>
    <hyperlink ref="N4" r:id="rId7"/>
    <hyperlink ref="N3" r:id="rId8"/>
    <hyperlink ref="N10" r:id="rId9"/>
    <hyperlink ref="N12" r:id="rId10"/>
    <hyperlink ref="N13" r:id="rId11"/>
    <hyperlink ref="N14" r:id="rId12"/>
    <hyperlink ref="N15" r:id="rId13"/>
    <hyperlink ref="N18" r:id="rId14"/>
    <hyperlink ref="N17" r:id="rId15"/>
    <hyperlink ref="N19" r:id="rId16"/>
    <hyperlink ref="N20" r:id="rId17"/>
    <hyperlink ref="N45" r:id="rId18"/>
    <hyperlink ref="F24" r:id="rId19"/>
    <hyperlink ref="F23" r:id="rId20"/>
    <hyperlink ref="F22" r:id="rId21"/>
    <hyperlink ref="F21" r:id="rId22"/>
    <hyperlink ref="F20" r:id="rId23"/>
    <hyperlink ref="F18" r:id="rId24"/>
    <hyperlink ref="F19" r:id="rId25"/>
    <hyperlink ref="F17" r:id="rId26"/>
    <hyperlink ref="F15" r:id="rId27"/>
    <hyperlink ref="F45" r:id="rId28"/>
    <hyperlink ref="F13" r:id="rId29"/>
    <hyperlink ref="F14" r:id="rId30"/>
    <hyperlink ref="F7" r:id="rId31"/>
    <hyperlink ref="F10" r:id="rId32"/>
    <hyperlink ref="F8" r:id="rId33"/>
    <hyperlink ref="F3" r:id="rId34"/>
    <hyperlink ref="F4" r:id="rId35"/>
    <hyperlink ref="F9" r:id="rId36"/>
    <hyperlink ref="N25" r:id="rId37"/>
    <hyperlink ref="F25" r:id="rId38"/>
    <hyperlink ref="F26" r:id="rId39"/>
    <hyperlink ref="N26" r:id="rId40"/>
    <hyperlink ref="F27" r:id="rId41"/>
    <hyperlink ref="N27" r:id="rId42"/>
    <hyperlink ref="F28" r:id="rId43"/>
    <hyperlink ref="F32" r:id="rId44"/>
    <hyperlink ref="N28" r:id="rId45"/>
    <hyperlink ref="N29" r:id="rId46"/>
    <hyperlink ref="N30" r:id="rId47"/>
    <hyperlink ref="F44" r:id="rId48"/>
    <hyperlink ref="N31" r:id="rId49"/>
    <hyperlink ref="N16" r:id="rId50"/>
    <hyperlink ref="F16" r:id="rId51"/>
    <hyperlink ref="N33" r:id="rId52"/>
    <hyperlink ref="N35" r:id="rId53"/>
    <hyperlink ref="N38" r:id="rId54"/>
    <hyperlink ref="N41" r:id="rId55"/>
  </hyperlinks>
  <pageMargins left="0.7" right="0.7" top="0.75" bottom="0.75" header="0.3" footer="0.3"/>
  <pageSetup paperSize="9" orientation="portrait" verticalDpi="0" r:id="rId56"/>
  <tableParts count="1">
    <tablePart r:id="rId5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3"/>
  <sheetViews>
    <sheetView showZeros="0" zoomScale="85" zoomScaleNormal="85" workbookViewId="0">
      <selection activeCell="E2" sqref="E2"/>
    </sheetView>
  </sheetViews>
  <sheetFormatPr defaultRowHeight="13.5"/>
  <cols>
    <col min="1" max="1" width="22.36328125" style="11" customWidth="1"/>
    <col min="2" max="2" width="42.81640625" style="11" customWidth="1"/>
    <col min="3" max="3" width="16.453125" style="11" customWidth="1"/>
    <col min="4" max="6" width="28.26953125" style="11" customWidth="1"/>
    <col min="7" max="7" width="28.26953125" style="11" hidden="1" customWidth="1"/>
    <col min="8" max="8" width="28.26953125" style="11" customWidth="1"/>
    <col min="9" max="9" width="33.08984375" style="11" customWidth="1"/>
    <col min="10" max="10" width="38.453125" style="11" customWidth="1"/>
    <col min="11" max="16384" width="8.7265625" style="11"/>
  </cols>
  <sheetData>
    <row r="1" spans="1:12">
      <c r="A1" s="8" t="s">
        <v>34</v>
      </c>
      <c r="B1" s="6" t="s">
        <v>35</v>
      </c>
      <c r="C1" s="6" t="s">
        <v>38</v>
      </c>
      <c r="D1" s="9" t="s">
        <v>39</v>
      </c>
      <c r="E1" s="14" t="s">
        <v>17</v>
      </c>
      <c r="F1" s="33" t="s">
        <v>53</v>
      </c>
      <c r="G1" s="33" t="s">
        <v>52</v>
      </c>
      <c r="H1" s="33" t="s">
        <v>51</v>
      </c>
      <c r="I1" s="26" t="s">
        <v>50</v>
      </c>
      <c r="J1" s="25" t="s">
        <v>48</v>
      </c>
      <c r="L1" s="11" t="s">
        <v>46</v>
      </c>
    </row>
    <row r="2" spans="1:12" ht="14.5">
      <c r="A2" s="3" t="str">
        <f t="array" ref="A2">IFERROR(INDEX(#REF!, MATCH(0, COUNTIF($A$1:A1,#REF!), 0)),"")</f>
        <v/>
      </c>
      <c r="B2" s="3" t="e">
        <f>_xlfn.IFNA(INDEX(#REF!,MATCH(テーブル3[[#This Row],[Library]],#REF!,0),2),"")</f>
        <v>#REF!</v>
      </c>
      <c r="C2" s="7" t="str">
        <f>IF(OR(テーブル3[[#This Row],[Library]]="",テーブル3[[#This Row],[Library]]=0),"",COUNTIF(#REF!,テーブル3[[#This Row],[Library]]))</f>
        <v/>
      </c>
      <c r="D2" s="2" t="str">
        <f>IF(OR(テーブル3[[#This Row],[Library]]="",テーブル3[[#This Row],[Library]]=0), "",ConcatenateIf(#REF!, テーブル3[[#This Row],[Library]],#REF!, ", "))</f>
        <v/>
      </c>
      <c r="E2" s="3" t="e">
        <f>_xlfn.IFNA(INDEX(#REF!,MATCH(テーブル3[[#This Row],[Library]],#REF!,0),3),"")</f>
        <v>#REF!</v>
      </c>
      <c r="F2" s="3" t="e">
        <f>_xlfn.IFNA(INDEX(#REF!,MATCH(テーブル3[[#This Row],[Library]],#REF!,0),4),"")</f>
        <v>#REF!</v>
      </c>
      <c r="G2" s="3" t="e">
        <f>_xlfn.IFNA(INDEX(#REF!,MATCH(テーブル3[[#This Row],[Library]],#REF!,0),5),"")</f>
        <v>#REF!</v>
      </c>
      <c r="H2" s="21" t="e">
        <f>HYPERLINK(テーブル3[[#This Row],[URL2]])</f>
        <v>#REF!</v>
      </c>
      <c r="I2" s="3" t="e">
        <f>_xlfn.IFNA(INDEX(#REF!,MATCH(テーブル3[[#This Row],[Library]],#REF!,0),6),"")</f>
        <v>#REF!</v>
      </c>
      <c r="J2" s="3" t="e">
        <f>_xlfn.IFNA(INDEX(#REF!,MATCH(テーブル3[[#This Row],[Library]],#REF!,0),7),"")</f>
        <v>#REF!</v>
      </c>
    </row>
    <row r="3" spans="1:12" ht="14.5">
      <c r="A3" s="3" t="str">
        <f t="array" ref="A3">IFERROR(INDEX(#REF!, MATCH(0, COUNTIF($A$1:A2,#REF!), 0)),"")</f>
        <v/>
      </c>
      <c r="B3" s="3" t="e">
        <f>_xlfn.IFNA(INDEX(#REF!,MATCH(テーブル3[[#This Row],[Library]],#REF!,0),2),"")</f>
        <v>#REF!</v>
      </c>
      <c r="C3" s="3" t="str">
        <f>IF(OR(テーブル3[[#This Row],[Library]]="",テーブル3[[#This Row],[Library]]=0),"",COUNTIF(#REF!,テーブル3[[#This Row],[Library]]))</f>
        <v/>
      </c>
      <c r="D3" s="4" t="str">
        <f>IF(OR(テーブル3[[#This Row],[Library]]="",テーブル3[[#This Row],[Library]]=0), "",ConcatenateIf(#REF!, テーブル3[[#This Row],[Library]],#REF!, ", "))</f>
        <v/>
      </c>
      <c r="E3" s="15" t="e">
        <f>_xlfn.IFNA(INDEX(#REF!,MATCH(テーブル3[[#This Row],[Library]],#REF!,0),3),"")</f>
        <v>#REF!</v>
      </c>
      <c r="F3" s="15" t="e">
        <f>_xlfn.IFNA(INDEX(#REF!,MATCH(テーブル3[[#This Row],[Library]],#REF!,0),4),"")</f>
        <v>#REF!</v>
      </c>
      <c r="G3" s="20" t="e">
        <f>_xlfn.IFNA(INDEX(#REF!,MATCH(テーブル3[[#This Row],[Library]],#REF!,0),5),"")</f>
        <v>#REF!</v>
      </c>
      <c r="H3" s="22" t="e">
        <f>HYPERLINK(テーブル3[[#This Row],[URL2]])</f>
        <v>#REF!</v>
      </c>
      <c r="I3" s="20" t="e">
        <f>_xlfn.IFNA(INDEX(#REF!,MATCH(テーブル3[[#This Row],[Library]],#REF!,0),6),"")</f>
        <v>#REF!</v>
      </c>
      <c r="J3" s="20" t="e">
        <f>_xlfn.IFNA(INDEX(#REF!,MATCH(テーブル3[[#This Row],[Library]],#REF!,0),7),"")</f>
        <v>#REF!</v>
      </c>
    </row>
    <row r="4" spans="1:12" ht="63.5" customHeight="1">
      <c r="A4" s="3" t="str">
        <f t="array" ref="A4">IFERROR(INDEX(#REF!, MATCH(0, COUNTIF($A$1:A3,#REF!), 0)),"")</f>
        <v/>
      </c>
      <c r="B4" s="3" t="e">
        <f>_xlfn.IFNA(INDEX(#REF!,MATCH(テーブル3[[#This Row],[Library]],#REF!,0),2),"")</f>
        <v>#REF!</v>
      </c>
      <c r="C4" s="3" t="str">
        <f>IF(OR(テーブル3[[#This Row],[Library]]="",テーブル3[[#This Row],[Library]]=0),"",COUNTIF(#REF!,テーブル3[[#This Row],[Library]]))</f>
        <v/>
      </c>
      <c r="D4" s="5" t="str">
        <f>IF(OR(テーブル3[[#This Row],[Library]]="",テーブル3[[#This Row],[Library]]=0), "",ConcatenateIf(#REF!, テーブル3[[#This Row],[Library]],#REF!, ", "))</f>
        <v/>
      </c>
      <c r="E4" s="15" t="e">
        <f>_xlfn.IFNA(INDEX(#REF!,MATCH(テーブル3[[#This Row],[Library]],#REF!,0),3),"")</f>
        <v>#REF!</v>
      </c>
      <c r="F4" s="15" t="e">
        <f>_xlfn.IFNA(INDEX(#REF!,MATCH(テーブル3[[#This Row],[Library]],#REF!,0),4),"")</f>
        <v>#REF!</v>
      </c>
      <c r="G4" s="20" t="e">
        <f>_xlfn.IFNA(INDEX(#REF!,MATCH(テーブル3[[#This Row],[Library]],#REF!,0),5),"")</f>
        <v>#REF!</v>
      </c>
      <c r="H4" s="22" t="e">
        <f>HYPERLINK(テーブル3[[#This Row],[URL2]])</f>
        <v>#REF!</v>
      </c>
      <c r="I4" s="20" t="e">
        <f>_xlfn.IFNA(INDEX(#REF!,MATCH(テーブル3[[#This Row],[Library]],#REF!,0),6),"")</f>
        <v>#REF!</v>
      </c>
      <c r="J4" s="20" t="e">
        <f>_xlfn.IFNA(INDEX(#REF!,MATCH(テーブル3[[#This Row],[Library]],#REF!,0),7),"")</f>
        <v>#REF!</v>
      </c>
    </row>
    <row r="5" spans="1:12" ht="14.5">
      <c r="A5" s="3" t="str">
        <f t="array" ref="A5">IFERROR(INDEX(#REF!, MATCH(0, COUNTIF($A$1:A4,#REF!), 0)),"")</f>
        <v/>
      </c>
      <c r="B5" s="3" t="e">
        <f>_xlfn.IFNA(INDEX(#REF!,MATCH(テーブル3[[#This Row],[Library]],#REF!,0),2),"")</f>
        <v>#REF!</v>
      </c>
      <c r="C5" s="7" t="str">
        <f>IF(OR(テーブル3[[#This Row],[Library]]="",テーブル3[[#This Row],[Library]]=0),"",COUNTIF(#REF!,テーブル3[[#This Row],[Library]]))</f>
        <v/>
      </c>
      <c r="D5" s="10" t="str">
        <f>IF(OR(テーブル3[[#This Row],[Library]]="",テーブル3[[#This Row],[Library]]=0), "",ConcatenateIf(#REF!, テーブル3[[#This Row],[Library]],#REF!, ", "))</f>
        <v/>
      </c>
      <c r="E5" s="16" t="e">
        <f>_xlfn.IFNA(INDEX(#REF!,MATCH(テーブル3[[#This Row],[Library]],#REF!,0),3),"")</f>
        <v>#REF!</v>
      </c>
      <c r="F5" s="16" t="e">
        <f>_xlfn.IFNA(INDEX(#REF!,MATCH(テーブル3[[#This Row],[Library]],#REF!,0),4),"")</f>
        <v>#REF!</v>
      </c>
      <c r="G5" s="17" t="e">
        <f>_xlfn.IFNA(INDEX(#REF!,MATCH(テーブル3[[#This Row],[Library]],#REF!,0),5),"")</f>
        <v>#REF!</v>
      </c>
      <c r="H5" s="23" t="e">
        <f>HYPERLINK(テーブル3[[#This Row],[URL2]])</f>
        <v>#REF!</v>
      </c>
      <c r="I5" s="17" t="e">
        <f>_xlfn.IFNA(INDEX(#REF!,MATCH(テーブル3[[#This Row],[Library]],#REF!,0),6),"")</f>
        <v>#REF!</v>
      </c>
      <c r="J5" s="17" t="e">
        <f>_xlfn.IFNA(INDEX(#REF!,MATCH(テーブル3[[#This Row],[Library]],#REF!,0),7),"")</f>
        <v>#REF!</v>
      </c>
    </row>
    <row r="6" spans="1:12" ht="14.5">
      <c r="A6" s="3" t="str">
        <f t="array" ref="A6">IFERROR(INDEX(#REF!, MATCH(0, COUNTIF($A$1:A5,#REF!), 0)),"")</f>
        <v/>
      </c>
      <c r="B6" s="3" t="e">
        <f>_xlfn.IFNA(INDEX(#REF!,MATCH(テーブル3[[#This Row],[Library]],#REF!,0),2),"")</f>
        <v>#REF!</v>
      </c>
      <c r="C6" s="7" t="str">
        <f>IF(OR(テーブル3[[#This Row],[Library]]="",テーブル3[[#This Row],[Library]]=0),"",COUNTIF(#REF!,テーブル3[[#This Row],[Library]]))</f>
        <v/>
      </c>
      <c r="D6" s="10" t="str">
        <f>IF(OR(テーブル3[[#This Row],[Library]]="",テーブル3[[#This Row],[Library]]=0), "",ConcatenateIf(#REF!, テーブル3[[#This Row],[Library]],#REF!, ", "))</f>
        <v/>
      </c>
      <c r="E6" s="16" t="e">
        <f>_xlfn.IFNA(INDEX(#REF!,MATCH(テーブル3[[#This Row],[Library]],#REF!,0),3),"")</f>
        <v>#REF!</v>
      </c>
      <c r="F6" s="16" t="e">
        <f>_xlfn.IFNA(INDEX(#REF!,MATCH(テーブル3[[#This Row],[Library]],#REF!,0),4),"")</f>
        <v>#REF!</v>
      </c>
      <c r="G6" s="17" t="e">
        <f>_xlfn.IFNA(INDEX(#REF!,MATCH(テーブル3[[#This Row],[Library]],#REF!,0),5),"")</f>
        <v>#REF!</v>
      </c>
      <c r="H6" s="23" t="e">
        <f>HYPERLINK(テーブル3[[#This Row],[URL2]])</f>
        <v>#REF!</v>
      </c>
      <c r="I6" s="17" t="e">
        <f>_xlfn.IFNA(INDEX(#REF!,MATCH(テーブル3[[#This Row],[Library]],#REF!,0),6),"")</f>
        <v>#REF!</v>
      </c>
      <c r="J6" s="17" t="e">
        <f>_xlfn.IFNA(INDEX(#REF!,MATCH(テーブル3[[#This Row],[Library]],#REF!,0),7),"")</f>
        <v>#REF!</v>
      </c>
    </row>
    <row r="7" spans="1:12" ht="14.5">
      <c r="A7" s="3" t="str">
        <f t="array" ref="A7">IFERROR(INDEX(#REF!, MATCH(0, COUNTIF($A$1:A6,#REF!), 0)),"")</f>
        <v/>
      </c>
      <c r="B7" s="3" t="e">
        <f>_xlfn.IFNA(INDEX(#REF!,MATCH(テーブル3[[#This Row],[Library]],#REF!,0),2),"")</f>
        <v>#REF!</v>
      </c>
      <c r="C7" s="7" t="str">
        <f>IF(OR(テーブル3[[#This Row],[Library]]="",テーブル3[[#This Row],[Library]]=0),"",COUNTIF(#REF!,テーブル3[[#This Row],[Library]]))</f>
        <v/>
      </c>
      <c r="D7" s="10" t="str">
        <f>IF(OR(テーブル3[[#This Row],[Library]]="",テーブル3[[#This Row],[Library]]=0), "",ConcatenateIf(#REF!, テーブル3[[#This Row],[Library]],#REF!, ", "))</f>
        <v/>
      </c>
      <c r="E7" s="16" t="e">
        <f>_xlfn.IFNA(INDEX(#REF!,MATCH(テーブル3[[#This Row],[Library]],#REF!,0),3),"")</f>
        <v>#REF!</v>
      </c>
      <c r="F7" s="16" t="e">
        <f>_xlfn.IFNA(INDEX(#REF!,MATCH(テーブル3[[#This Row],[Library]],#REF!,0),4),"")</f>
        <v>#REF!</v>
      </c>
      <c r="G7" s="17" t="e">
        <f>_xlfn.IFNA(INDEX(#REF!,MATCH(テーブル3[[#This Row],[Library]],#REF!,0),5),"")</f>
        <v>#REF!</v>
      </c>
      <c r="H7" s="23" t="e">
        <f>HYPERLINK(テーブル3[[#This Row],[URL2]])</f>
        <v>#REF!</v>
      </c>
      <c r="I7" s="17" t="e">
        <f>_xlfn.IFNA(INDEX(#REF!,MATCH(テーブル3[[#This Row],[Library]],#REF!,0),6),"")</f>
        <v>#REF!</v>
      </c>
      <c r="J7" s="17" t="e">
        <f>_xlfn.IFNA(INDEX(#REF!,MATCH(テーブル3[[#This Row],[Library]],#REF!,0),7),"")</f>
        <v>#REF!</v>
      </c>
    </row>
    <row r="8" spans="1:12" ht="14.5">
      <c r="A8" s="3" t="str">
        <f t="array" ref="A8">IFERROR(INDEX(#REF!, MATCH(0, COUNTIF($A$1:A7,#REF!), 0)),"")</f>
        <v/>
      </c>
      <c r="B8" s="3" t="e">
        <f>_xlfn.IFNA(INDEX(#REF!,MATCH(テーブル3[[#This Row],[Library]],#REF!,0),2),"")</f>
        <v>#REF!</v>
      </c>
      <c r="C8" s="7" t="str">
        <f>IF(OR(テーブル3[[#This Row],[Library]]="",テーブル3[[#This Row],[Library]]=0),"",COUNTIF(#REF!,テーブル3[[#This Row],[Library]]))</f>
        <v/>
      </c>
      <c r="D8" s="10" t="str">
        <f>IF(OR(テーブル3[[#This Row],[Library]]="",テーブル3[[#This Row],[Library]]=0), "",ConcatenateIf(#REF!, テーブル3[[#This Row],[Library]],#REF!, ", "))</f>
        <v/>
      </c>
      <c r="E8" s="16" t="e">
        <f>_xlfn.IFNA(INDEX(#REF!,MATCH(テーブル3[[#This Row],[Library]],#REF!,0),3),"")</f>
        <v>#REF!</v>
      </c>
      <c r="F8" s="16" t="e">
        <f>_xlfn.IFNA(INDEX(#REF!,MATCH(テーブル3[[#This Row],[Library]],#REF!,0),4),"")</f>
        <v>#REF!</v>
      </c>
      <c r="G8" s="17" t="e">
        <f>_xlfn.IFNA(INDEX(#REF!,MATCH(テーブル3[[#This Row],[Library]],#REF!,0),5),"")</f>
        <v>#REF!</v>
      </c>
      <c r="H8" s="23" t="e">
        <f>HYPERLINK(テーブル3[[#This Row],[URL2]])</f>
        <v>#REF!</v>
      </c>
      <c r="I8" s="17" t="e">
        <f>_xlfn.IFNA(INDEX(#REF!,MATCH(テーブル3[[#This Row],[Library]],#REF!,0),6),"")</f>
        <v>#REF!</v>
      </c>
      <c r="J8" s="17" t="e">
        <f>_xlfn.IFNA(INDEX(#REF!,MATCH(テーブル3[[#This Row],[Library]],#REF!,0),7),"")</f>
        <v>#REF!</v>
      </c>
    </row>
    <row r="9" spans="1:12" ht="14.5">
      <c r="A9" s="3" t="str">
        <f t="array" ref="A9">IFERROR(INDEX(#REF!, MATCH(0, COUNTIF($A$1:A8,#REF!), 0)),"")</f>
        <v/>
      </c>
      <c r="B9" s="3" t="e">
        <f>_xlfn.IFNA(INDEX(#REF!,MATCH(テーブル3[[#This Row],[Library]],#REF!,0),2),"")</f>
        <v>#REF!</v>
      </c>
      <c r="C9" s="7" t="str">
        <f>IF(OR(テーブル3[[#This Row],[Library]]="",テーブル3[[#This Row],[Library]]=0),"",COUNTIF(#REF!,テーブル3[[#This Row],[Library]]))</f>
        <v/>
      </c>
      <c r="D9" s="10" t="str">
        <f>IF(OR(テーブル3[[#This Row],[Library]]="",テーブル3[[#This Row],[Library]]=0), "",ConcatenateIf(#REF!, テーブル3[[#This Row],[Library]],#REF!, ", "))</f>
        <v/>
      </c>
      <c r="E9" s="16" t="e">
        <f>_xlfn.IFNA(INDEX(#REF!,MATCH(テーブル3[[#This Row],[Library]],#REF!,0),3),"")</f>
        <v>#REF!</v>
      </c>
      <c r="F9" s="16" t="e">
        <f>_xlfn.IFNA(INDEX(#REF!,MATCH(テーブル3[[#This Row],[Library]],#REF!,0),4),"")</f>
        <v>#REF!</v>
      </c>
      <c r="G9" s="17" t="e">
        <f>_xlfn.IFNA(INDEX(#REF!,MATCH(テーブル3[[#This Row],[Library]],#REF!,0),5),"")</f>
        <v>#REF!</v>
      </c>
      <c r="H9" s="23" t="e">
        <f>HYPERLINK(テーブル3[[#This Row],[URL2]])</f>
        <v>#REF!</v>
      </c>
      <c r="I9" s="17" t="e">
        <f>_xlfn.IFNA(INDEX(#REF!,MATCH(テーブル3[[#This Row],[Library]],#REF!,0),6),"")</f>
        <v>#REF!</v>
      </c>
      <c r="J9" s="17" t="e">
        <f>_xlfn.IFNA(INDEX(#REF!,MATCH(テーブル3[[#This Row],[Library]],#REF!,0),7),"")</f>
        <v>#REF!</v>
      </c>
    </row>
    <row r="10" spans="1:12" ht="14.5">
      <c r="A10" s="3" t="str">
        <f t="array" ref="A10">IFERROR(INDEX(#REF!, MATCH(0, COUNTIF($A$1:A9,#REF!), 0)),"")</f>
        <v/>
      </c>
      <c r="B10" s="3" t="e">
        <f>_xlfn.IFNA(INDEX(#REF!,MATCH(テーブル3[[#This Row],[Library]],#REF!,0),2),"")</f>
        <v>#REF!</v>
      </c>
      <c r="C10" s="7" t="str">
        <f>IF(OR(テーブル3[[#This Row],[Library]]="",テーブル3[[#This Row],[Library]]=0),"",COUNTIF(#REF!,テーブル3[[#This Row],[Library]]))</f>
        <v/>
      </c>
      <c r="D10" s="10" t="str">
        <f>IF(OR(テーブル3[[#This Row],[Library]]="",テーブル3[[#This Row],[Library]]=0), "",ConcatenateIf(#REF!, テーブル3[[#This Row],[Library]],#REF!, ", "))</f>
        <v/>
      </c>
      <c r="E10" s="16" t="e">
        <f>_xlfn.IFNA(INDEX(#REF!,MATCH(テーブル3[[#This Row],[Library]],#REF!,0),3),"")</f>
        <v>#REF!</v>
      </c>
      <c r="F10" s="16" t="e">
        <f>_xlfn.IFNA(INDEX(#REF!,MATCH(テーブル3[[#This Row],[Library]],#REF!,0),4),"")</f>
        <v>#REF!</v>
      </c>
      <c r="G10" s="17" t="e">
        <f>_xlfn.IFNA(INDEX(#REF!,MATCH(テーブル3[[#This Row],[Library]],#REF!,0),5),"")</f>
        <v>#REF!</v>
      </c>
      <c r="H10" s="23" t="e">
        <f>HYPERLINK(テーブル3[[#This Row],[URL2]])</f>
        <v>#REF!</v>
      </c>
      <c r="I10" s="17" t="e">
        <f>_xlfn.IFNA(INDEX(#REF!,MATCH(テーブル3[[#This Row],[Library]],#REF!,0),6),"")</f>
        <v>#REF!</v>
      </c>
      <c r="J10" s="17" t="e">
        <f>_xlfn.IFNA(INDEX(#REF!,MATCH(テーブル3[[#This Row],[Library]],#REF!,0),7),"")</f>
        <v>#REF!</v>
      </c>
    </row>
    <row r="11" spans="1:12" ht="14.5">
      <c r="A11" s="3" t="str">
        <f t="array" ref="A11">IFERROR(INDEX(#REF!, MATCH(0, COUNTIF($A$1:A10,#REF!), 0)),"")</f>
        <v/>
      </c>
      <c r="B11" s="3" t="e">
        <f>_xlfn.IFNA(INDEX(#REF!,MATCH(テーブル3[[#This Row],[Library]],#REF!,0),2),"")</f>
        <v>#REF!</v>
      </c>
      <c r="C11" s="7" t="str">
        <f>IF(OR(テーブル3[[#This Row],[Library]]="",テーブル3[[#This Row],[Library]]=0),"",COUNTIF(#REF!,テーブル3[[#This Row],[Library]]))</f>
        <v/>
      </c>
      <c r="D11" s="10" t="str">
        <f>IF(OR(テーブル3[[#This Row],[Library]]="",テーブル3[[#This Row],[Library]]=0), "",ConcatenateIf(#REF!, テーブル3[[#This Row],[Library]],#REF!, ", "))</f>
        <v/>
      </c>
      <c r="E11" s="16" t="e">
        <f>_xlfn.IFNA(INDEX(#REF!,MATCH(テーブル3[[#This Row],[Library]],#REF!,0),3),"")</f>
        <v>#REF!</v>
      </c>
      <c r="F11" s="16" t="e">
        <f>_xlfn.IFNA(INDEX(#REF!,MATCH(テーブル3[[#This Row],[Library]],#REF!,0),4),"")</f>
        <v>#REF!</v>
      </c>
      <c r="G11" s="17" t="e">
        <f>_xlfn.IFNA(INDEX(#REF!,MATCH(テーブル3[[#This Row],[Library]],#REF!,0),5),"")</f>
        <v>#REF!</v>
      </c>
      <c r="H11" s="23" t="e">
        <f>HYPERLINK(テーブル3[[#This Row],[URL2]])</f>
        <v>#REF!</v>
      </c>
      <c r="I11" s="17" t="e">
        <f>_xlfn.IFNA(INDEX(#REF!,MATCH(テーブル3[[#This Row],[Library]],#REF!,0),6),"")</f>
        <v>#REF!</v>
      </c>
      <c r="J11" s="17" t="e">
        <f>_xlfn.IFNA(INDEX(#REF!,MATCH(テーブル3[[#This Row],[Library]],#REF!,0),7),"")</f>
        <v>#REF!</v>
      </c>
    </row>
    <row r="12" spans="1:12" ht="14.5">
      <c r="A12" s="10"/>
      <c r="B12" s="3" t="e">
        <f>_xlfn.IFNA(INDEX(#REF!,MATCH(テーブル3[[#This Row],[Library]],#REF!,0),2),"")</f>
        <v>#REF!</v>
      </c>
      <c r="C12" s="7" t="str">
        <f>IF(OR(テーブル3[[#This Row],[Library]]="",テーブル3[[#This Row],[Library]]=0),"",COUNTIF(#REF!,テーブル3[[#This Row],[Library]]))</f>
        <v/>
      </c>
      <c r="D12" s="10" t="str">
        <f>IF(OR(テーブル3[[#This Row],[Library]]="",テーブル3[[#This Row],[Library]]=0), "",ConcatenateIf(#REF!, テーブル3[[#This Row],[Library]],#REF!, ", "))</f>
        <v/>
      </c>
      <c r="E12" s="16" t="e">
        <f>_xlfn.IFNA(INDEX(#REF!,MATCH(テーブル3[[#This Row],[Library]],#REF!,0),3),"")</f>
        <v>#REF!</v>
      </c>
      <c r="F12" s="16" t="e">
        <f>_xlfn.IFNA(INDEX(#REF!,MATCH(テーブル3[[#This Row],[Library]],#REF!,0),4),"")</f>
        <v>#REF!</v>
      </c>
      <c r="G12" s="17" t="e">
        <f>_xlfn.IFNA(INDEX(#REF!,MATCH(テーブル3[[#This Row],[Library]],#REF!,0),5),"")</f>
        <v>#REF!</v>
      </c>
      <c r="H12" s="23" t="e">
        <f>HYPERLINK(テーブル3[[#This Row],[URL2]])</f>
        <v>#REF!</v>
      </c>
      <c r="I12" s="17" t="e">
        <f>_xlfn.IFNA(INDEX(#REF!,MATCH(テーブル3[[#This Row],[Library]],#REF!,0),6),"")</f>
        <v>#REF!</v>
      </c>
      <c r="J12" s="17" t="e">
        <f>_xlfn.IFNA(INDEX(#REF!,MATCH(テーブル3[[#This Row],[Library]],#REF!,0),7),"")</f>
        <v>#REF!</v>
      </c>
    </row>
    <row r="13" spans="1:12">
      <c r="B13" s="3"/>
      <c r="C13" s="7"/>
    </row>
  </sheetData>
  <phoneticPr fontId="8"/>
  <pageMargins left="0.7" right="0.7" top="0.75" bottom="0.75" header="0.3" footer="0.3"/>
  <pageSetup paperSize="9"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2"/>
  <sheetViews>
    <sheetView showZeros="0" topLeftCell="G1" zoomScale="85" zoomScaleNormal="85" workbookViewId="0">
      <selection activeCell="K11" sqref="K11"/>
    </sheetView>
  </sheetViews>
  <sheetFormatPr defaultRowHeight="14.5"/>
  <cols>
    <col min="1" max="3" width="22.36328125" customWidth="1"/>
    <col min="4" max="4" width="42.81640625" customWidth="1"/>
    <col min="5" max="5" width="16.453125" customWidth="1"/>
    <col min="6" max="11" width="28.26953125" customWidth="1"/>
    <col min="12" max="12" width="48.81640625" customWidth="1"/>
    <col min="13" max="14" width="28.26953125" customWidth="1"/>
    <col min="15" max="18" width="20.6328125" customWidth="1"/>
  </cols>
  <sheetData>
    <row r="1" spans="1:20" ht="27">
      <c r="A1" s="1" t="s">
        <v>2</v>
      </c>
      <c r="B1" s="1" t="s">
        <v>3</v>
      </c>
      <c r="C1" s="8" t="s">
        <v>40</v>
      </c>
      <c r="D1" s="1" t="s">
        <v>16</v>
      </c>
      <c r="E1" s="6" t="s">
        <v>41</v>
      </c>
      <c r="F1" s="9" t="s">
        <v>42</v>
      </c>
      <c r="G1" s="24" t="s">
        <v>27</v>
      </c>
      <c r="H1" s="18" t="s">
        <v>28</v>
      </c>
      <c r="I1" s="18" t="s">
        <v>29</v>
      </c>
      <c r="J1" s="18" t="s">
        <v>21</v>
      </c>
      <c r="K1" s="18" t="s">
        <v>9</v>
      </c>
      <c r="L1" s="18" t="s">
        <v>10</v>
      </c>
      <c r="M1" s="18" t="s">
        <v>5</v>
      </c>
      <c r="N1" s="18" t="s">
        <v>4</v>
      </c>
      <c r="O1" s="19" t="s">
        <v>49</v>
      </c>
      <c r="P1" s="24" t="s">
        <v>30</v>
      </c>
      <c r="Q1" s="18" t="s">
        <v>43</v>
      </c>
      <c r="R1" s="18" t="s">
        <v>31</v>
      </c>
      <c r="T1" s="11" t="s">
        <v>46</v>
      </c>
    </row>
    <row r="2" spans="1:20">
      <c r="A2" s="3" t="e">
        <f>_xlfn.IFNA(INDEX(#REF!,MATCH(テーブル38[[#This Row],[Algorithm]],#REF!,0),1),"")</f>
        <v>#REF!</v>
      </c>
      <c r="B2" s="3" t="e">
        <f>_xlfn.IFNA(INDEX(#REF!,MATCH(テーブル38[[#This Row],[Algorithm]],#REF!,0),2),"")</f>
        <v>#REF!</v>
      </c>
      <c r="C2" s="3" t="str">
        <f t="array" ref="C2">IFERROR(INDEX(#REF!, MATCH(0, COUNTIF($C$1:C1,#REF!), 0)),"")</f>
        <v/>
      </c>
      <c r="D2" s="3" t="e">
        <f>_xlfn.IFNA(INDEX(#REF!,MATCH(テーブル38[[#This Row],[Algorithm]],#REF!,0),4),"")</f>
        <v>#REF!</v>
      </c>
      <c r="E2" s="7" t="e">
        <f>IF(テーブル38[[#This Row],[Category]]="","",COUNTIF(#REF!, テーブル38[[#This Row],[Algorithm]]))</f>
        <v>#REF!</v>
      </c>
      <c r="F2" s="2" t="e">
        <f>IF(OR(テーブル38[[#This Row],[Category]]="",テーブル38[[#This Row],[Category]]=0), "",ConcatenateIf(#REF!, テーブル38[[#This Row],[Algorithm]],#REF!, ", "))</f>
        <v>#REF!</v>
      </c>
      <c r="G2" s="3" t="e">
        <f>_xlfn.IFNA(INDEX(#REF!,MATCH(テーブル38[[#This Row],[Algorithm]],#REF!,0),1),"")</f>
        <v>#REF!</v>
      </c>
      <c r="H2" s="3" t="e">
        <f>_xlfn.IFNA(INDEX(#REF!,MATCH(テーブル38[[#This Row],[Algorithm]],#REF!,0),2),"")</f>
        <v>#REF!</v>
      </c>
      <c r="I2" s="3" t="e">
        <f>_xlfn.IFNA(INDEX(#REF!,MATCH(テーブル38[[#This Row],[Algorithm]],#REF!,0),3),"")</f>
        <v>#REF!</v>
      </c>
      <c r="J2" s="3" t="e">
        <f>_xlfn.IFNA(INDEX(#REF!,MATCH(テーブル38[[#This Row],[Algorithm]],#REF!,0),4),"")</f>
        <v>#REF!</v>
      </c>
      <c r="K2" s="3" t="e">
        <f>_xlfn.IFNA(INDEX(#REF!,MATCH(テーブル38[[#This Row],[Algorithm]],#REF!,0),5),"")</f>
        <v>#REF!</v>
      </c>
      <c r="L2" s="3" t="e">
        <f>_xlfn.IFNA(INDEX(#REF!,MATCH(テーブル38[[#This Row],[Algorithm]],#REF!,0),6),"")</f>
        <v>#REF!</v>
      </c>
      <c r="M2" s="3" t="e">
        <f>_xlfn.IFNA(INDEX(#REF!,MATCH(テーブル38[[#This Row],[Algorithm]],#REF!,0),7),"")</f>
        <v>#REF!</v>
      </c>
      <c r="N2" s="3" t="e">
        <f>_xlfn.IFNA(INDEX(#REF!,MATCH(テーブル38[[#This Row],[Algorithm]],#REF!,0),8),"")</f>
        <v>#REF!</v>
      </c>
      <c r="O2" s="3" t="e">
        <f>_xlfn.IFNA(INDEX(#REF!,MATCH(テーブル38[[#This Row],[Algorithm]],#REF!,0),9),"")</f>
        <v>#REF!</v>
      </c>
      <c r="P2" s="3" t="e">
        <f>_xlfn.IFNA(INDEX(#REF!,MATCH(テーブル38[[#This Row],[Algorithm]],#REF!,0),10),"")</f>
        <v>#REF!</v>
      </c>
      <c r="Q2" s="3" t="e">
        <f>_xlfn.IFNA(INDEX(#REF!,MATCH(テーブル38[[#This Row],[Algorithm]],#REF!,0),11),"")</f>
        <v>#REF!</v>
      </c>
      <c r="R2" s="3" t="e">
        <f>_xlfn.IFNA(INDEX(#REF!,MATCH(テーブル38[[#This Row],[Algorithm]],#REF!,0),12),"")</f>
        <v>#REF!</v>
      </c>
    </row>
    <row r="3" spans="1:20" ht="113" customHeight="1">
      <c r="A3" s="3" t="e">
        <f>_xlfn.IFNA(INDEX(#REF!,MATCH(テーブル38[[#This Row],[Algorithm]],#REF!,0),1),"")</f>
        <v>#REF!</v>
      </c>
      <c r="B3" s="3" t="e">
        <f>_xlfn.IFNA(INDEX(#REF!,MATCH(テーブル38[[#This Row],[Algorithm]],#REF!,0),2),"")</f>
        <v>#REF!</v>
      </c>
      <c r="C3" s="3" t="str">
        <f t="array" ref="C3">IFERROR(INDEX(#REF!, MATCH(0, COUNTIF($C$1:C2,#REF!), 0)),"")</f>
        <v/>
      </c>
      <c r="D3" s="3" t="e">
        <f>_xlfn.IFNA(INDEX(#REF!,MATCH(テーブル38[[#This Row],[Algorithm]],#REF!,0),4),"")</f>
        <v>#REF!</v>
      </c>
      <c r="E3" s="3" t="e">
        <f>IF(テーブル38[[#This Row],[Category]]="","",COUNTIF(#REF!, テーブル38[[#This Row],[Algorithm]]))</f>
        <v>#REF!</v>
      </c>
      <c r="F3" s="4" t="e">
        <f>IF(OR(テーブル38[[#This Row],[Category]]="",テーブル38[[#This Row],[Category]]=0), "",ConcatenateIf(#REF!, テーブル38[[#This Row],[Algorithm]],#REF!, ", "))</f>
        <v>#REF!</v>
      </c>
      <c r="G3" s="15" t="e">
        <f>_xlfn.IFNA(INDEX(#REF!,MATCH(テーブル38[[#This Row],[Algorithm]],#REF!,0),1),"")</f>
        <v>#REF!</v>
      </c>
      <c r="H3" s="15" t="e">
        <f>_xlfn.IFNA(INDEX(#REF!,MATCH(テーブル38[[#This Row],[Algorithm]],#REF!,0),2),"")</f>
        <v>#REF!</v>
      </c>
      <c r="I3" s="15" t="e">
        <f>_xlfn.IFNA(INDEX(#REF!,MATCH(テーブル38[[#This Row],[Algorithm]],#REF!,0),3),"")</f>
        <v>#REF!</v>
      </c>
      <c r="J3" s="15" t="e">
        <f>_xlfn.IFNA(INDEX(#REF!,MATCH(テーブル38[[#This Row],[Algorithm]],#REF!,0),4),"")</f>
        <v>#REF!</v>
      </c>
      <c r="K3" s="15" t="e">
        <f>_xlfn.IFNA(INDEX(#REF!,MATCH(テーブル38[[#This Row],[Algorithm]],#REF!,0),5),"")</f>
        <v>#REF!</v>
      </c>
      <c r="L3" s="15" t="e">
        <f>_xlfn.IFNA(INDEX(#REF!,MATCH(テーブル38[[#This Row],[Algorithm]],#REF!,0),6),"")</f>
        <v>#REF!</v>
      </c>
      <c r="M3" s="15" t="e">
        <f>_xlfn.IFNA(INDEX(#REF!,MATCH(テーブル38[[#This Row],[Algorithm]],#REF!,0),7),"")</f>
        <v>#REF!</v>
      </c>
      <c r="N3" s="15" t="e">
        <f>_xlfn.IFNA(INDEX(#REF!,MATCH(テーブル38[[#This Row],[Algorithm]],#REF!,0),8),"")</f>
        <v>#REF!</v>
      </c>
      <c r="O3" s="15" t="e">
        <f>_xlfn.IFNA(INDEX(#REF!,MATCH(テーブル38[[#This Row],[Algorithm]],#REF!,0),9),"")</f>
        <v>#REF!</v>
      </c>
      <c r="P3" s="15" t="e">
        <f>_xlfn.IFNA(INDEX(#REF!,MATCH(テーブル38[[#This Row],[Algorithm]],#REF!,0),10),"")</f>
        <v>#REF!</v>
      </c>
      <c r="Q3" s="15" t="e">
        <f>_xlfn.IFNA(INDEX(#REF!,MATCH(テーブル38[[#This Row],[Algorithm]],#REF!,0),11),"")</f>
        <v>#REF!</v>
      </c>
      <c r="R3" s="15" t="e">
        <f>_xlfn.IFNA(INDEX(#REF!,MATCH(テーブル38[[#This Row],[Algorithm]],#REF!,0),12),"")</f>
        <v>#REF!</v>
      </c>
    </row>
    <row r="4" spans="1:20">
      <c r="A4" s="3" t="e">
        <f>_xlfn.IFNA(INDEX(#REF!,MATCH(テーブル38[[#This Row],[Algorithm]],#REF!,0),1),"")</f>
        <v>#REF!</v>
      </c>
      <c r="B4" s="3" t="e">
        <f>_xlfn.IFNA(INDEX(#REF!,MATCH(テーブル38[[#This Row],[Algorithm]],#REF!,0),2),"")</f>
        <v>#REF!</v>
      </c>
      <c r="C4" s="3" t="str">
        <f t="array" ref="C4">IFERROR(INDEX(#REF!, MATCH(0, COUNTIF($C$1:C3,#REF!), 0)),"")</f>
        <v/>
      </c>
      <c r="D4" s="3" t="e">
        <f>_xlfn.IFNA(INDEX(#REF!,MATCH(テーブル38[[#This Row],[Algorithm]],#REF!,0),4),"")</f>
        <v>#REF!</v>
      </c>
      <c r="E4" s="3" t="e">
        <f>IF(テーブル38[[#This Row],[Category]]="","",COUNTIF(#REF!, テーブル38[[#This Row],[Algorithm]]))</f>
        <v>#REF!</v>
      </c>
      <c r="F4" s="5" t="e">
        <f>IF(OR(テーブル38[[#This Row],[Category]]="",テーブル38[[#This Row],[Category]]=0), "",ConcatenateIf(#REF!, テーブル38[[#This Row],[Algorithm]],#REF!, ", "))</f>
        <v>#REF!</v>
      </c>
      <c r="G4" s="15" t="e">
        <f>_xlfn.IFNA(INDEX(#REF!,MATCH(テーブル38[[#This Row],[Algorithm]],#REF!,0),1),"")</f>
        <v>#REF!</v>
      </c>
      <c r="H4" s="15" t="e">
        <f>_xlfn.IFNA(INDEX(#REF!,MATCH(テーブル38[[#This Row],[Algorithm]],#REF!,0),2),"")</f>
        <v>#REF!</v>
      </c>
      <c r="I4" s="15" t="e">
        <f>_xlfn.IFNA(INDEX(#REF!,MATCH(テーブル38[[#This Row],[Algorithm]],#REF!,0),3),"")</f>
        <v>#REF!</v>
      </c>
      <c r="J4" s="15" t="e">
        <f>_xlfn.IFNA(INDEX(#REF!,MATCH(テーブル38[[#This Row],[Algorithm]],#REF!,0),4),"")</f>
        <v>#REF!</v>
      </c>
      <c r="K4" s="15" t="e">
        <f>_xlfn.IFNA(INDEX(#REF!,MATCH(テーブル38[[#This Row],[Algorithm]],#REF!,0),5),"")</f>
        <v>#REF!</v>
      </c>
      <c r="L4" s="15" t="e">
        <f>_xlfn.IFNA(INDEX(#REF!,MATCH(テーブル38[[#This Row],[Algorithm]],#REF!,0),6),"")</f>
        <v>#REF!</v>
      </c>
      <c r="M4" s="15" t="e">
        <f>_xlfn.IFNA(INDEX(#REF!,MATCH(テーブル38[[#This Row],[Algorithm]],#REF!,0),7),"")</f>
        <v>#REF!</v>
      </c>
      <c r="N4" s="15" t="e">
        <f>_xlfn.IFNA(INDEX(#REF!,MATCH(テーブル38[[#This Row],[Algorithm]],#REF!,0),8),"")</f>
        <v>#REF!</v>
      </c>
      <c r="O4" s="15" t="e">
        <f>_xlfn.IFNA(INDEX(#REF!,MATCH(テーブル38[[#This Row],[Algorithm]],#REF!,0),9),"")</f>
        <v>#REF!</v>
      </c>
      <c r="P4" s="15" t="e">
        <f>_xlfn.IFNA(INDEX(#REF!,MATCH(テーブル38[[#This Row],[Algorithm]],#REF!,0),10),"")</f>
        <v>#REF!</v>
      </c>
      <c r="Q4" s="15" t="e">
        <f>_xlfn.IFNA(INDEX(#REF!,MATCH(テーブル38[[#This Row],[Algorithm]],#REF!,0),11),"")</f>
        <v>#REF!</v>
      </c>
      <c r="R4" s="15" t="e">
        <f>_xlfn.IFNA(INDEX(#REF!,MATCH(テーブル38[[#This Row],[Algorithm]],#REF!,0),12),"")</f>
        <v>#REF!</v>
      </c>
    </row>
    <row r="5" spans="1:20" ht="67.5" customHeight="1">
      <c r="A5" s="3" t="e">
        <f>_xlfn.IFNA(INDEX(#REF!,MATCH(テーブル38[[#This Row],[Algorithm]],#REF!,0),1),"")</f>
        <v>#REF!</v>
      </c>
      <c r="B5" s="3" t="e">
        <f>_xlfn.IFNA(INDEX(#REF!,MATCH(テーブル38[[#This Row],[Algorithm]],#REF!,0),2),"")</f>
        <v>#REF!</v>
      </c>
      <c r="C5" s="3" t="str">
        <f t="array" ref="C5">IFERROR(INDEX(#REF!, MATCH(0, COUNTIF($C$1:C4,#REF!), 0)),"")</f>
        <v/>
      </c>
      <c r="D5" s="3" t="e">
        <f>_xlfn.IFNA(INDEX(#REF!,MATCH(テーブル38[[#This Row],[Algorithm]],#REF!,0),4),"")</f>
        <v>#REF!</v>
      </c>
      <c r="E5" s="7" t="e">
        <f>IF(テーブル38[[#This Row],[Category]]="","",COUNTIF(#REF!, テーブル38[[#This Row],[Algorithm]]))</f>
        <v>#REF!</v>
      </c>
      <c r="F5" s="10" t="e">
        <f>IF(OR(テーブル38[[#This Row],[Category]]="",テーブル38[[#This Row],[Category]]=0), "",ConcatenateIf(#REF!, テーブル38[[#This Row],[Algorithm]],#REF!, ", "))</f>
        <v>#REF!</v>
      </c>
      <c r="G5" s="16" t="e">
        <f>_xlfn.IFNA(INDEX(#REF!,MATCH(テーブル38[[#This Row],[Algorithm]],#REF!,0),1),"")</f>
        <v>#REF!</v>
      </c>
      <c r="H5" s="16" t="e">
        <f>_xlfn.IFNA(INDEX(#REF!,MATCH(テーブル38[[#This Row],[Algorithm]],#REF!,0),2),"")</f>
        <v>#REF!</v>
      </c>
      <c r="I5" s="16" t="e">
        <f>_xlfn.IFNA(INDEX(#REF!,MATCH(テーブル38[[#This Row],[Algorithm]],#REF!,0),3),"")</f>
        <v>#REF!</v>
      </c>
      <c r="J5" s="16" t="e">
        <f>_xlfn.IFNA(INDEX(#REF!,MATCH(テーブル38[[#This Row],[Algorithm]],#REF!,0),4),"")</f>
        <v>#REF!</v>
      </c>
      <c r="K5" s="16" t="e">
        <f>_xlfn.IFNA(INDEX(#REF!,MATCH(テーブル38[[#This Row],[Algorithm]],#REF!,0),5),"")</f>
        <v>#REF!</v>
      </c>
      <c r="L5" s="16" t="e">
        <f>_xlfn.IFNA(INDEX(#REF!,MATCH(テーブル38[[#This Row],[Algorithm]],#REF!,0),6),"")</f>
        <v>#REF!</v>
      </c>
      <c r="M5" s="16" t="e">
        <f>_xlfn.IFNA(INDEX(#REF!,MATCH(テーブル38[[#This Row],[Algorithm]],#REF!,0),7),"")</f>
        <v>#REF!</v>
      </c>
      <c r="N5" s="16" t="e">
        <f>_xlfn.IFNA(INDEX(#REF!,MATCH(テーブル38[[#This Row],[Algorithm]],#REF!,0),8),"")</f>
        <v>#REF!</v>
      </c>
      <c r="O5" s="16" t="e">
        <f>_xlfn.IFNA(INDEX(#REF!,MATCH(テーブル38[[#This Row],[Algorithm]],#REF!,0),9),"")</f>
        <v>#REF!</v>
      </c>
      <c r="P5" s="16" t="e">
        <f>_xlfn.IFNA(INDEX(#REF!,MATCH(テーブル38[[#This Row],[Algorithm]],#REF!,0),10),"")</f>
        <v>#REF!</v>
      </c>
      <c r="Q5" s="16" t="e">
        <f>_xlfn.IFNA(INDEX(#REF!,MATCH(テーブル38[[#This Row],[Algorithm]],#REF!,0),11),"")</f>
        <v>#REF!</v>
      </c>
      <c r="R5" s="16" t="e">
        <f>_xlfn.IFNA(INDEX(#REF!,MATCH(テーブル38[[#This Row],[Algorithm]],#REF!,0),12),"")</f>
        <v>#REF!</v>
      </c>
    </row>
    <row r="6" spans="1:20">
      <c r="A6" s="3" t="e">
        <f>_xlfn.IFNA(INDEX(#REF!,MATCH(テーブル38[[#This Row],[Algorithm]],#REF!,0),1),"")</f>
        <v>#REF!</v>
      </c>
      <c r="B6" s="3" t="e">
        <f>_xlfn.IFNA(INDEX(#REF!,MATCH(テーブル38[[#This Row],[Algorithm]],#REF!,0),2),"")</f>
        <v>#REF!</v>
      </c>
      <c r="C6" s="3" t="str">
        <f t="array" ref="C6">IFERROR(INDEX(#REF!, MATCH(0, COUNTIF($C$1:C5,#REF!), 0)),"")</f>
        <v/>
      </c>
      <c r="D6" s="3" t="e">
        <f>_xlfn.IFNA(INDEX(#REF!,MATCH(テーブル38[[#This Row],[Algorithm]],#REF!,0),4),"")</f>
        <v>#REF!</v>
      </c>
      <c r="E6" s="7" t="e">
        <f>IF(テーブル38[[#This Row],[Category]]="","",COUNTIF(#REF!, テーブル38[[#This Row],[Algorithm]]))</f>
        <v>#REF!</v>
      </c>
      <c r="F6" s="10" t="e">
        <f>IF(OR(テーブル38[[#This Row],[Category]]="",テーブル38[[#This Row],[Category]]=0), "",ConcatenateIf(#REF!, テーブル38[[#This Row],[Algorithm]],#REF!, ", "))</f>
        <v>#REF!</v>
      </c>
      <c r="G6" s="16" t="e">
        <f>_xlfn.IFNA(INDEX(#REF!,MATCH(テーブル38[[#This Row],[Algorithm]],#REF!,0),1),"")</f>
        <v>#REF!</v>
      </c>
      <c r="H6" s="16" t="e">
        <f>_xlfn.IFNA(INDEX(#REF!,MATCH(テーブル38[[#This Row],[Algorithm]],#REF!,0),2),"")</f>
        <v>#REF!</v>
      </c>
      <c r="I6" s="16" t="e">
        <f>_xlfn.IFNA(INDEX(#REF!,MATCH(テーブル38[[#This Row],[Algorithm]],#REF!,0),3),"")</f>
        <v>#REF!</v>
      </c>
      <c r="J6" s="16" t="e">
        <f>_xlfn.IFNA(INDEX(#REF!,MATCH(テーブル38[[#This Row],[Algorithm]],#REF!,0),4),"")</f>
        <v>#REF!</v>
      </c>
      <c r="K6" s="16" t="e">
        <f>_xlfn.IFNA(INDEX(#REF!,MATCH(テーブル38[[#This Row],[Algorithm]],#REF!,0),5),"")</f>
        <v>#REF!</v>
      </c>
      <c r="L6" s="16" t="e">
        <f>_xlfn.IFNA(INDEX(#REF!,MATCH(テーブル38[[#This Row],[Algorithm]],#REF!,0),6),"")</f>
        <v>#REF!</v>
      </c>
      <c r="M6" s="16" t="e">
        <f>_xlfn.IFNA(INDEX(#REF!,MATCH(テーブル38[[#This Row],[Algorithm]],#REF!,0),7),"")</f>
        <v>#REF!</v>
      </c>
      <c r="N6" s="16" t="e">
        <f>_xlfn.IFNA(INDEX(#REF!,MATCH(テーブル38[[#This Row],[Algorithm]],#REF!,0),8),"")</f>
        <v>#REF!</v>
      </c>
      <c r="O6" s="16" t="e">
        <f>_xlfn.IFNA(INDEX(#REF!,MATCH(テーブル38[[#This Row],[Algorithm]],#REF!,0),9),"")</f>
        <v>#REF!</v>
      </c>
      <c r="P6" s="16" t="e">
        <f>_xlfn.IFNA(INDEX(#REF!,MATCH(テーブル38[[#This Row],[Algorithm]],#REF!,0),10),"")</f>
        <v>#REF!</v>
      </c>
      <c r="Q6" s="16" t="e">
        <f>_xlfn.IFNA(INDEX(#REF!,MATCH(テーブル38[[#This Row],[Algorithm]],#REF!,0),11),"")</f>
        <v>#REF!</v>
      </c>
      <c r="R6" s="16" t="e">
        <f>_xlfn.IFNA(INDEX(#REF!,MATCH(テーブル38[[#This Row],[Algorithm]],#REF!,0),12),"")</f>
        <v>#REF!</v>
      </c>
    </row>
    <row r="7" spans="1:20">
      <c r="A7" s="3" t="e">
        <f>_xlfn.IFNA(INDEX(#REF!,MATCH(テーブル38[[#This Row],[Algorithm]],#REF!,0),1),"")</f>
        <v>#REF!</v>
      </c>
      <c r="B7" s="3" t="e">
        <f>_xlfn.IFNA(INDEX(#REF!,MATCH(テーブル38[[#This Row],[Algorithm]],#REF!,0),2),"")</f>
        <v>#REF!</v>
      </c>
      <c r="C7" s="3" t="str">
        <f t="array" ref="C7">IFERROR(INDEX(#REF!, MATCH(0, COUNTIF($C$1:C6,#REF!), 0)),"")</f>
        <v/>
      </c>
      <c r="D7" s="3" t="e">
        <f>_xlfn.IFNA(INDEX(#REF!,MATCH(テーブル38[[#This Row],[Algorithm]],#REF!,0),4),"")</f>
        <v>#REF!</v>
      </c>
      <c r="E7" s="7" t="e">
        <f>IF(テーブル38[[#This Row],[Category]]="","",COUNTIF(#REF!, テーブル38[[#This Row],[Algorithm]]))</f>
        <v>#REF!</v>
      </c>
      <c r="F7" s="10" t="e">
        <f>IF(OR(テーブル38[[#This Row],[Category]]="",テーブル38[[#This Row],[Category]]=0), "",ConcatenateIf(#REF!, テーブル38[[#This Row],[Algorithm]],#REF!, ", "))</f>
        <v>#REF!</v>
      </c>
      <c r="G7" s="16" t="e">
        <f>_xlfn.IFNA(INDEX(#REF!,MATCH(テーブル38[[#This Row],[Algorithm]],#REF!,0),1),"")</f>
        <v>#REF!</v>
      </c>
      <c r="H7" s="16" t="e">
        <f>_xlfn.IFNA(INDEX(#REF!,MATCH(テーブル38[[#This Row],[Algorithm]],#REF!,0),2),"")</f>
        <v>#REF!</v>
      </c>
      <c r="I7" s="16" t="e">
        <f>_xlfn.IFNA(INDEX(#REF!,MATCH(テーブル38[[#This Row],[Algorithm]],#REF!,0),3),"")</f>
        <v>#REF!</v>
      </c>
      <c r="J7" s="16" t="e">
        <f>_xlfn.IFNA(INDEX(#REF!,MATCH(テーブル38[[#This Row],[Algorithm]],#REF!,0),4),"")</f>
        <v>#REF!</v>
      </c>
      <c r="K7" s="16" t="e">
        <f>_xlfn.IFNA(INDEX(#REF!,MATCH(テーブル38[[#This Row],[Algorithm]],#REF!,0),5),"")</f>
        <v>#REF!</v>
      </c>
      <c r="L7" s="16" t="e">
        <f>_xlfn.IFNA(INDEX(#REF!,MATCH(テーブル38[[#This Row],[Algorithm]],#REF!,0),6),"")</f>
        <v>#REF!</v>
      </c>
      <c r="M7" s="16" t="e">
        <f>_xlfn.IFNA(INDEX(#REF!,MATCH(テーブル38[[#This Row],[Algorithm]],#REF!,0),7),"")</f>
        <v>#REF!</v>
      </c>
      <c r="N7" s="16" t="e">
        <f>_xlfn.IFNA(INDEX(#REF!,MATCH(テーブル38[[#This Row],[Algorithm]],#REF!,0),8),"")</f>
        <v>#REF!</v>
      </c>
      <c r="O7" s="16" t="e">
        <f>_xlfn.IFNA(INDEX(#REF!,MATCH(テーブル38[[#This Row],[Algorithm]],#REF!,0),9),"")</f>
        <v>#REF!</v>
      </c>
      <c r="P7" s="16" t="e">
        <f>_xlfn.IFNA(INDEX(#REF!,MATCH(テーブル38[[#This Row],[Algorithm]],#REF!,0),10),"")</f>
        <v>#REF!</v>
      </c>
      <c r="Q7" s="16" t="e">
        <f>_xlfn.IFNA(INDEX(#REF!,MATCH(テーブル38[[#This Row],[Algorithm]],#REF!,0),11),"")</f>
        <v>#REF!</v>
      </c>
      <c r="R7" s="16" t="e">
        <f>_xlfn.IFNA(INDEX(#REF!,MATCH(テーブル38[[#This Row],[Algorithm]],#REF!,0),12),"")</f>
        <v>#REF!</v>
      </c>
    </row>
    <row r="8" spans="1:20">
      <c r="A8" s="3" t="e">
        <f>_xlfn.IFNA(INDEX(#REF!,MATCH(テーブル38[[#This Row],[Algorithm]],#REF!,0),1),"")</f>
        <v>#REF!</v>
      </c>
      <c r="B8" s="3" t="e">
        <f>_xlfn.IFNA(INDEX(#REF!,MATCH(テーブル38[[#This Row],[Algorithm]],#REF!,0),2),"")</f>
        <v>#REF!</v>
      </c>
      <c r="C8" s="3" t="str">
        <f t="array" ref="C8">IFERROR(INDEX(#REF!, MATCH(0, COUNTIF($C$1:C7,#REF!), 0)),"")</f>
        <v/>
      </c>
      <c r="D8" s="3" t="e">
        <f>_xlfn.IFNA(INDEX(#REF!,MATCH(テーブル38[[#This Row],[Algorithm]],#REF!,0),4),"")</f>
        <v>#REF!</v>
      </c>
      <c r="E8" s="7" t="e">
        <f>IF(テーブル38[[#This Row],[Category]]="","",COUNTIF(#REF!, テーブル38[[#This Row],[Algorithm]]))</f>
        <v>#REF!</v>
      </c>
      <c r="F8" s="10" t="e">
        <f>IF(OR(テーブル38[[#This Row],[Category]]="",テーブル38[[#This Row],[Category]]=0), "",ConcatenateIf(#REF!, テーブル38[[#This Row],[Algorithm]],#REF!, ", "))</f>
        <v>#REF!</v>
      </c>
      <c r="G8" s="16" t="e">
        <f>_xlfn.IFNA(INDEX(#REF!,MATCH(テーブル38[[#This Row],[Algorithm]],#REF!,0),1),"")</f>
        <v>#REF!</v>
      </c>
      <c r="H8" s="16" t="e">
        <f>_xlfn.IFNA(INDEX(#REF!,MATCH(テーブル38[[#This Row],[Algorithm]],#REF!,0),2),"")</f>
        <v>#REF!</v>
      </c>
      <c r="I8" s="16" t="e">
        <f>_xlfn.IFNA(INDEX(#REF!,MATCH(テーブル38[[#This Row],[Algorithm]],#REF!,0),3),"")</f>
        <v>#REF!</v>
      </c>
      <c r="J8" s="16" t="e">
        <f>_xlfn.IFNA(INDEX(#REF!,MATCH(テーブル38[[#This Row],[Algorithm]],#REF!,0),4),"")</f>
        <v>#REF!</v>
      </c>
      <c r="K8" s="16" t="e">
        <f>_xlfn.IFNA(INDEX(#REF!,MATCH(テーブル38[[#This Row],[Algorithm]],#REF!,0),5),"")</f>
        <v>#REF!</v>
      </c>
      <c r="L8" s="16" t="e">
        <f>_xlfn.IFNA(INDEX(#REF!,MATCH(テーブル38[[#This Row],[Algorithm]],#REF!,0),6),"")</f>
        <v>#REF!</v>
      </c>
      <c r="M8" s="16" t="e">
        <f>_xlfn.IFNA(INDEX(#REF!,MATCH(テーブル38[[#This Row],[Algorithm]],#REF!,0),7),"")</f>
        <v>#REF!</v>
      </c>
      <c r="N8" s="16" t="e">
        <f>_xlfn.IFNA(INDEX(#REF!,MATCH(テーブル38[[#This Row],[Algorithm]],#REF!,0),8),"")</f>
        <v>#REF!</v>
      </c>
      <c r="O8" s="16" t="e">
        <f>_xlfn.IFNA(INDEX(#REF!,MATCH(テーブル38[[#This Row],[Algorithm]],#REF!,0),9),"")</f>
        <v>#REF!</v>
      </c>
      <c r="P8" s="16" t="e">
        <f>_xlfn.IFNA(INDEX(#REF!,MATCH(テーブル38[[#This Row],[Algorithm]],#REF!,0),10),"")</f>
        <v>#REF!</v>
      </c>
      <c r="Q8" s="16" t="e">
        <f>_xlfn.IFNA(INDEX(#REF!,MATCH(テーブル38[[#This Row],[Algorithm]],#REF!,0),11),"")</f>
        <v>#REF!</v>
      </c>
      <c r="R8" s="16" t="e">
        <f>_xlfn.IFNA(INDEX(#REF!,MATCH(テーブル38[[#This Row],[Algorithm]],#REF!,0),12),"")</f>
        <v>#REF!</v>
      </c>
    </row>
    <row r="9" spans="1:20">
      <c r="A9" s="3" t="e">
        <f>_xlfn.IFNA(INDEX(#REF!,MATCH(テーブル38[[#This Row],[Algorithm]],#REF!,0),1),"")</f>
        <v>#REF!</v>
      </c>
      <c r="B9" s="3" t="e">
        <f>_xlfn.IFNA(INDEX(#REF!,MATCH(テーブル38[[#This Row],[Algorithm]],#REF!,0),2),"")</f>
        <v>#REF!</v>
      </c>
      <c r="C9" s="3" t="str">
        <f t="array" ref="C9">IFERROR(INDEX(#REF!, MATCH(0, COUNTIF($C$1:C8,#REF!), 0)),"")</f>
        <v/>
      </c>
      <c r="D9" s="3" t="e">
        <f>_xlfn.IFNA(INDEX(#REF!,MATCH(テーブル38[[#This Row],[Algorithm]],#REF!,0),4),"")</f>
        <v>#REF!</v>
      </c>
      <c r="E9" s="7" t="e">
        <f>IF(テーブル38[[#This Row],[Category]]="","",COUNTIF(#REF!, テーブル38[[#This Row],[Algorithm]]))</f>
        <v>#REF!</v>
      </c>
      <c r="F9" s="10" t="e">
        <f>IF(OR(テーブル38[[#This Row],[Category]]="",テーブル38[[#This Row],[Category]]=0), "",ConcatenateIf(#REF!, テーブル38[[#This Row],[Algorithm]],#REF!, ", "))</f>
        <v>#REF!</v>
      </c>
      <c r="G9" s="16" t="e">
        <f>_xlfn.IFNA(INDEX(#REF!,MATCH(テーブル38[[#This Row],[Algorithm]],#REF!,0),1),"")</f>
        <v>#REF!</v>
      </c>
      <c r="H9" s="16" t="e">
        <f>_xlfn.IFNA(INDEX(#REF!,MATCH(テーブル38[[#This Row],[Algorithm]],#REF!,0),2),"")</f>
        <v>#REF!</v>
      </c>
      <c r="I9" s="16" t="e">
        <f>_xlfn.IFNA(INDEX(#REF!,MATCH(テーブル38[[#This Row],[Algorithm]],#REF!,0),3),"")</f>
        <v>#REF!</v>
      </c>
      <c r="J9" s="16" t="e">
        <f>_xlfn.IFNA(INDEX(#REF!,MATCH(テーブル38[[#This Row],[Algorithm]],#REF!,0),4),"")</f>
        <v>#REF!</v>
      </c>
      <c r="K9" s="16" t="e">
        <f>_xlfn.IFNA(INDEX(#REF!,MATCH(テーブル38[[#This Row],[Algorithm]],#REF!,0),5),"")</f>
        <v>#REF!</v>
      </c>
      <c r="L9" s="16" t="e">
        <f>_xlfn.IFNA(INDEX(#REF!,MATCH(テーブル38[[#This Row],[Algorithm]],#REF!,0),6),"")</f>
        <v>#REF!</v>
      </c>
      <c r="M9" s="16" t="e">
        <f>_xlfn.IFNA(INDEX(#REF!,MATCH(テーブル38[[#This Row],[Algorithm]],#REF!,0),7),"")</f>
        <v>#REF!</v>
      </c>
      <c r="N9" s="16" t="e">
        <f>_xlfn.IFNA(INDEX(#REF!,MATCH(テーブル38[[#This Row],[Algorithm]],#REF!,0),8),"")</f>
        <v>#REF!</v>
      </c>
      <c r="O9" s="16" t="e">
        <f>_xlfn.IFNA(INDEX(#REF!,MATCH(テーブル38[[#This Row],[Algorithm]],#REF!,0),9),"")</f>
        <v>#REF!</v>
      </c>
      <c r="P9" s="16" t="e">
        <f>_xlfn.IFNA(INDEX(#REF!,MATCH(テーブル38[[#This Row],[Algorithm]],#REF!,0),10),"")</f>
        <v>#REF!</v>
      </c>
      <c r="Q9" s="16" t="e">
        <f>_xlfn.IFNA(INDEX(#REF!,MATCH(テーブル38[[#This Row],[Algorithm]],#REF!,0),11),"")</f>
        <v>#REF!</v>
      </c>
      <c r="R9" s="16" t="e">
        <f>_xlfn.IFNA(INDEX(#REF!,MATCH(テーブル38[[#This Row],[Algorithm]],#REF!,0),12),"")</f>
        <v>#REF!</v>
      </c>
    </row>
    <row r="10" spans="1:20">
      <c r="A10" s="3" t="e">
        <f>_xlfn.IFNA(INDEX(#REF!,MATCH(テーブル38[[#This Row],[Algorithm]],#REF!,0),1),"")</f>
        <v>#REF!</v>
      </c>
      <c r="B10" s="3" t="e">
        <f>_xlfn.IFNA(INDEX(#REF!,MATCH(テーブル38[[#This Row],[Algorithm]],#REF!,0),2),"")</f>
        <v>#REF!</v>
      </c>
      <c r="C10" s="3" t="str">
        <f t="array" ref="C10">IFERROR(INDEX(#REF!, MATCH(0, COUNTIF($C$1:C9,#REF!), 0)),"")</f>
        <v/>
      </c>
      <c r="D10" s="3" t="e">
        <f>_xlfn.IFNA(INDEX(#REF!,MATCH(テーブル38[[#This Row],[Algorithm]],#REF!,0),4),"")</f>
        <v>#REF!</v>
      </c>
      <c r="E10" s="7" t="e">
        <f>IF(テーブル38[[#This Row],[Category]]="","",COUNTIF(#REF!, テーブル38[[#This Row],[Algorithm]]))</f>
        <v>#REF!</v>
      </c>
      <c r="F10" s="10" t="e">
        <f>IF(OR(テーブル38[[#This Row],[Category]]="",テーブル38[[#This Row],[Category]]=0), "",ConcatenateIf(#REF!, テーブル38[[#This Row],[Algorithm]],#REF!, ", "))</f>
        <v>#REF!</v>
      </c>
      <c r="G10" s="16" t="e">
        <f>_xlfn.IFNA(INDEX(#REF!,MATCH(テーブル38[[#This Row],[Algorithm]],#REF!,0),1),"")</f>
        <v>#REF!</v>
      </c>
      <c r="H10" s="16" t="e">
        <f>_xlfn.IFNA(INDEX(#REF!,MATCH(テーブル38[[#This Row],[Algorithm]],#REF!,0),2),"")</f>
        <v>#REF!</v>
      </c>
      <c r="I10" s="16" t="e">
        <f>_xlfn.IFNA(INDEX(#REF!,MATCH(テーブル38[[#This Row],[Algorithm]],#REF!,0),3),"")</f>
        <v>#REF!</v>
      </c>
      <c r="J10" s="16" t="e">
        <f>_xlfn.IFNA(INDEX(#REF!,MATCH(テーブル38[[#This Row],[Algorithm]],#REF!,0),4),"")</f>
        <v>#REF!</v>
      </c>
      <c r="K10" s="16" t="e">
        <f>_xlfn.IFNA(INDEX(#REF!,MATCH(テーブル38[[#This Row],[Algorithm]],#REF!,0),5),"")</f>
        <v>#REF!</v>
      </c>
      <c r="L10" s="16" t="e">
        <f>_xlfn.IFNA(INDEX(#REF!,MATCH(テーブル38[[#This Row],[Algorithm]],#REF!,0),6),"")</f>
        <v>#REF!</v>
      </c>
      <c r="M10" s="16" t="e">
        <f>_xlfn.IFNA(INDEX(#REF!,MATCH(テーブル38[[#This Row],[Algorithm]],#REF!,0),7),"")</f>
        <v>#REF!</v>
      </c>
      <c r="N10" s="16" t="e">
        <f>_xlfn.IFNA(INDEX(#REF!,MATCH(テーブル38[[#This Row],[Algorithm]],#REF!,0),8),"")</f>
        <v>#REF!</v>
      </c>
      <c r="O10" s="16" t="e">
        <f>_xlfn.IFNA(INDEX(#REF!,MATCH(テーブル38[[#This Row],[Algorithm]],#REF!,0),9),"")</f>
        <v>#REF!</v>
      </c>
      <c r="P10" s="16" t="e">
        <f>_xlfn.IFNA(INDEX(#REF!,MATCH(テーブル38[[#This Row],[Algorithm]],#REF!,0),10),"")</f>
        <v>#REF!</v>
      </c>
      <c r="Q10" s="16" t="e">
        <f>_xlfn.IFNA(INDEX(#REF!,MATCH(テーブル38[[#This Row],[Algorithm]],#REF!,0),11),"")</f>
        <v>#REF!</v>
      </c>
      <c r="R10" s="16" t="e">
        <f>_xlfn.IFNA(INDEX(#REF!,MATCH(テーブル38[[#This Row],[Algorithm]],#REF!,0),12),"")</f>
        <v>#REF!</v>
      </c>
    </row>
    <row r="11" spans="1:20">
      <c r="A11" s="3" t="e">
        <f>_xlfn.IFNA(INDEX(#REF!,MATCH(テーブル38[[#This Row],[Algorithm]],#REF!,0),1),"")</f>
        <v>#REF!</v>
      </c>
      <c r="B11" s="3" t="e">
        <f>_xlfn.IFNA(INDEX(#REF!,MATCH(テーブル38[[#This Row],[Algorithm]],#REF!,0),2),"")</f>
        <v>#REF!</v>
      </c>
      <c r="C11" s="3" t="str">
        <f t="array" ref="C11">IFERROR(INDEX(#REF!, MATCH(0, COUNTIF($C$1:C10,#REF!), 0)),"")</f>
        <v/>
      </c>
      <c r="D11" s="3" t="e">
        <f>_xlfn.IFNA(INDEX(#REF!,MATCH(テーブル38[[#This Row],[Algorithm]],#REF!,0),4),"")</f>
        <v>#REF!</v>
      </c>
      <c r="E11" s="7" t="e">
        <f>IF(テーブル38[[#This Row],[Category]]="","",COUNTIF(#REF!, テーブル38[[#This Row],[Algorithm]]))</f>
        <v>#REF!</v>
      </c>
      <c r="F11" s="10" t="e">
        <f>IF(OR(テーブル38[[#This Row],[Category]]="",テーブル38[[#This Row],[Category]]=0), "",ConcatenateIf(#REF!, テーブル38[[#This Row],[Algorithm]],#REF!, ", "))</f>
        <v>#REF!</v>
      </c>
      <c r="G11" s="16" t="e">
        <f>_xlfn.IFNA(INDEX(#REF!,MATCH(テーブル38[[#This Row],[Algorithm]],#REF!,0),1),"")</f>
        <v>#REF!</v>
      </c>
      <c r="H11" s="16" t="e">
        <f>_xlfn.IFNA(INDEX(#REF!,MATCH(テーブル38[[#This Row],[Algorithm]],#REF!,0),2),"")</f>
        <v>#REF!</v>
      </c>
      <c r="I11" s="16" t="e">
        <f>_xlfn.IFNA(INDEX(#REF!,MATCH(テーブル38[[#This Row],[Algorithm]],#REF!,0),3),"")</f>
        <v>#REF!</v>
      </c>
      <c r="J11" s="16" t="e">
        <f>_xlfn.IFNA(INDEX(#REF!,MATCH(テーブル38[[#This Row],[Algorithm]],#REF!,0),4),"")</f>
        <v>#REF!</v>
      </c>
      <c r="K11" s="16" t="e">
        <f>_xlfn.IFNA(INDEX(#REF!,MATCH(テーブル38[[#This Row],[Algorithm]],#REF!,0),5),"")</f>
        <v>#REF!</v>
      </c>
      <c r="L11" s="16" t="e">
        <f>_xlfn.IFNA(INDEX(#REF!,MATCH(テーブル38[[#This Row],[Algorithm]],#REF!,0),6),"")</f>
        <v>#REF!</v>
      </c>
      <c r="M11" s="16" t="e">
        <f>_xlfn.IFNA(INDEX(#REF!,MATCH(テーブル38[[#This Row],[Algorithm]],#REF!,0),7),"")</f>
        <v>#REF!</v>
      </c>
      <c r="N11" s="16" t="e">
        <f>_xlfn.IFNA(INDEX(#REF!,MATCH(テーブル38[[#This Row],[Algorithm]],#REF!,0),8),"")</f>
        <v>#REF!</v>
      </c>
      <c r="O11" s="16" t="e">
        <f>_xlfn.IFNA(INDEX(#REF!,MATCH(テーブル38[[#This Row],[Algorithm]],#REF!,0),9),"")</f>
        <v>#REF!</v>
      </c>
      <c r="P11" s="16" t="e">
        <f>_xlfn.IFNA(INDEX(#REF!,MATCH(テーブル38[[#This Row],[Algorithm]],#REF!,0),10),"")</f>
        <v>#REF!</v>
      </c>
      <c r="Q11" s="16" t="e">
        <f>_xlfn.IFNA(INDEX(#REF!,MATCH(テーブル38[[#This Row],[Algorithm]],#REF!,0),11),"")</f>
        <v>#REF!</v>
      </c>
      <c r="R11" s="16" t="e">
        <f>_xlfn.IFNA(INDEX(#REF!,MATCH(テーブル38[[#This Row],[Algorithm]],#REF!,0),12),"")</f>
        <v>#REF!</v>
      </c>
    </row>
    <row r="12" spans="1:20">
      <c r="A12" s="10"/>
      <c r="B12" s="10" t="e">
        <f>_xlfn.IFNA(INDEX(#REF!,MATCH(テーブル38[[#This Row],[Algorithm]],#REF!,0),2),"")</f>
        <v>#REF!</v>
      </c>
      <c r="C12" s="3" t="str">
        <f t="array" ref="C12">IFERROR(INDEX(#REF!, MATCH(0, COUNTIF($C$1:C11,#REF!), 0)),"")</f>
        <v/>
      </c>
      <c r="D12" s="3" t="e">
        <f>_xlfn.IFNA(INDEX(#REF!,MATCH(テーブル38[[#This Row],[Algorithm]],#REF!,0),4),"")</f>
        <v>#REF!</v>
      </c>
      <c r="E12" s="7" t="str">
        <f>IF(テーブル38[[#This Row],[Category]]="","",COUNTIF(#REF!, テーブル38[[#This Row],[Algorithm]]))</f>
        <v/>
      </c>
      <c r="F12" s="10" t="str">
        <f>IF(OR(テーブル38[[#This Row],[Category]]="",テーブル38[[#This Row],[Category]]=0), "",ConcatenateIf(#REF!, テーブル38[[#This Row],[Algorithm]],#REF!, ", "))</f>
        <v/>
      </c>
      <c r="G12" s="16" t="e">
        <f>_xlfn.IFNA(INDEX(#REF!,MATCH(テーブル38[[#This Row],[Algorithm]],#REF!,0),1),"")</f>
        <v>#REF!</v>
      </c>
      <c r="H12" s="16" t="e">
        <f>_xlfn.IFNA(INDEX(#REF!,MATCH(テーブル38[[#This Row],[Algorithm]],#REF!,0),2),"")</f>
        <v>#REF!</v>
      </c>
      <c r="I12" s="16" t="e">
        <f>_xlfn.IFNA(INDEX(#REF!,MATCH(テーブル38[[#This Row],[Algorithm]],#REF!,0),3),"")</f>
        <v>#REF!</v>
      </c>
      <c r="J12" s="16" t="e">
        <f>_xlfn.IFNA(INDEX(#REF!,MATCH(テーブル38[[#This Row],[Algorithm]],#REF!,0),4),"")</f>
        <v>#REF!</v>
      </c>
      <c r="K12" s="16" t="e">
        <f>_xlfn.IFNA(INDEX(#REF!,MATCH(テーブル38[[#This Row],[Algorithm]],#REF!,0),5),"")</f>
        <v>#REF!</v>
      </c>
      <c r="L12" s="16" t="e">
        <f>_xlfn.IFNA(INDEX(#REF!,MATCH(テーブル38[[#This Row],[Algorithm]],#REF!,0),6),"")</f>
        <v>#REF!</v>
      </c>
      <c r="M12" s="16" t="e">
        <f>_xlfn.IFNA(INDEX(#REF!,MATCH(テーブル38[[#This Row],[Algorithm]],#REF!,0),7),"")</f>
        <v>#REF!</v>
      </c>
      <c r="N12" s="16" t="e">
        <f>_xlfn.IFNA(INDEX(#REF!,MATCH(テーブル38[[#This Row],[Algorithm]],#REF!,0),8),"")</f>
        <v>#REF!</v>
      </c>
      <c r="O12" s="16" t="e">
        <f>_xlfn.IFNA(INDEX(#REF!,MATCH(テーブル38[[#This Row],[Algorithm]],#REF!,0),9),"")</f>
        <v>#REF!</v>
      </c>
      <c r="P12" s="16" t="e">
        <f>_xlfn.IFNA(INDEX(#REF!,MATCH(テーブル38[[#This Row],[Algorithm]],#REF!,0),10),"")</f>
        <v>#REF!</v>
      </c>
      <c r="Q12" s="16" t="e">
        <f>_xlfn.IFNA(INDEX(#REF!,MATCH(テーブル38[[#This Row],[Algorithm]],#REF!,0),11),"")</f>
        <v>#REF!</v>
      </c>
      <c r="R12" s="16" t="e">
        <f>_xlfn.IFNA(INDEX(#REF!,MATCH(テーブル38[[#This Row],[Algorithm]],#REF!,0),12),"")</f>
        <v>#REF!</v>
      </c>
    </row>
  </sheetData>
  <phoneticPr fontId="8"/>
  <pageMargins left="0.7" right="0.7" top="0.75" bottom="0.75" header="0.3" footer="0.3"/>
  <pageSetup paperSize="9" orientation="portrait" verticalDpi="0" r:id="rId1"/>
  <ignoredErrors>
    <ignoredError sqref="A2:A11"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zoomScaleNormal="100" workbookViewId="0">
      <selection activeCell="F5" sqref="F5"/>
    </sheetView>
  </sheetViews>
  <sheetFormatPr defaultRowHeight="14.5"/>
  <sheetData/>
  <phoneticPr fontId="8"/>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Full Comparison</vt:lpstr>
      <vt:lpstr>Libraries</vt:lpstr>
      <vt:lpstr>Algorithms</vt:lpstr>
      <vt:lpstr>Glossary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2018-11-29T06:52:22Z</dcterms:modified>
</cp:coreProperties>
</file>